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Projects\MS Excel\"/>
    </mc:Choice>
  </mc:AlternateContent>
  <xr:revisionPtr revIDLastSave="0" documentId="8_{B12CF3EF-4E2B-4190-A38F-F0E8893DAB5D}" xr6:coauthVersionLast="47" xr6:coauthVersionMax="47" xr10:uidLastSave="{00000000-0000-0000-0000-000000000000}"/>
  <bookViews>
    <workbookView xWindow="-108" yWindow="-108" windowWidth="23256" windowHeight="12456" xr2:uid="{27AF51C5-2840-40FA-B533-C13A78373616}"/>
  </bookViews>
  <sheets>
    <sheet name="Dashboard" sheetId="1" r:id="rId1"/>
    <sheet name="Data" sheetId="2" r:id="rId2"/>
    <sheet name="Pivot Tables" sheetId="3" r:id="rId3"/>
  </sheets>
  <definedNames>
    <definedName name="Slicer_Department">#N/A</definedName>
    <definedName name="Slicer_Gender">#N/A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2" i="3" l="1"/>
  <c r="H31" i="3"/>
  <c r="H30" i="3"/>
  <c r="H29" i="3"/>
  <c r="H28" i="3"/>
  <c r="C33" i="3"/>
  <c r="C32" i="3"/>
  <c r="C31" i="3"/>
  <c r="C30" i="3"/>
  <c r="C29" i="3"/>
  <c r="H15" i="3"/>
  <c r="H14" i="3"/>
  <c r="H13" i="3"/>
  <c r="H12" i="3"/>
  <c r="H11" i="3"/>
  <c r="S16" i="3"/>
  <c r="S15" i="3"/>
  <c r="S14" i="3"/>
  <c r="S13" i="3"/>
  <c r="S12" i="3"/>
  <c r="P14" i="3"/>
  <c r="P13" i="3"/>
  <c r="P12" i="3"/>
  <c r="K21" i="3"/>
  <c r="K20" i="3"/>
  <c r="L20" i="3" l="1"/>
  <c r="M20" i="3" s="1"/>
  <c r="K23" i="3"/>
  <c r="L21" i="3"/>
  <c r="M21" i="3" s="1"/>
  <c r="O17" i="3"/>
  <c r="P17" i="3" s="1"/>
  <c r="P15" i="3"/>
  <c r="O18" i="3"/>
  <c r="P18" i="3" s="1"/>
  <c r="O19" i="3"/>
  <c r="P19" i="3" s="1"/>
  <c r="C34" i="3"/>
  <c r="H33" i="3"/>
  <c r="H16" i="3"/>
  <c r="K16" i="3"/>
  <c r="K15" i="3"/>
  <c r="K14" i="3"/>
  <c r="K13" i="3"/>
  <c r="K12" i="3"/>
  <c r="G15" i="3"/>
  <c r="G14" i="3"/>
  <c r="G13" i="3"/>
  <c r="G12" i="3"/>
  <c r="G11" i="3"/>
  <c r="C12" i="3"/>
  <c r="C11" i="3"/>
  <c r="C10" i="3"/>
  <c r="K17" i="3" l="1"/>
  <c r="C13" i="3"/>
  <c r="G16" i="3"/>
</calcChain>
</file>

<file path=xl/sharedStrings.xml><?xml version="1.0" encoding="utf-8"?>
<sst xmlns="http://schemas.openxmlformats.org/spreadsheetml/2006/main" count="871" uniqueCount="230">
  <si>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</si>
  <si>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</si>
  <si>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</si>
  <si>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</si>
  <si>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</si>
  <si>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</si>
  <si>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</si>
  <si>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</si>
  <si>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</si>
  <si>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</si>
  <si>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</si>
  <si>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</si>
  <si>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</si>
  <si>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</si>
  <si>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</si>
  <si>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</si>
  <si>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</si>
  <si>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</si>
  <si>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</si>
  <si>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</si>
  <si>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</si>
  <si>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</si>
  <si>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</si>
  <si>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</si>
  <si>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</si>
  <si>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</si>
  <si>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</si>
  <si>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</si>
  <si>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</si>
  <si>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</si>
  <si>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</si>
  <si>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</si>
  <si>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</si>
  <si>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</si>
  <si>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</si>
  <si>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</si>
  <si>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</si>
  <si>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</si>
  <si>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</si>
  <si>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</si>
  <si>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</si>
  <si>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</si>
  <si>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</si>
  <si>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</si>
  <si>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</si>
  <si>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</si>
  <si>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</si>
  <si>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</si>
  <si>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</si>
  <si>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</si>
  <si>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</si>
  <si>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</si>
  <si>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</si>
  <si>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</si>
  <si>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</si>
  <si>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</si>
  <si>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</si>
  <si>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</si>
  <si>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</si>
  <si>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</si>
  <si>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</si>
  <si>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</si>
  <si>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</si>
  <si>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</si>
  <si>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</si>
  <si>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</si>
  <si>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</si>
  <si>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</si>
  <si>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</si>
  <si>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</si>
  <si>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</si>
  <si>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</si>
  <si>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</si>
  <si>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</si>
  <si>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</si>
  <si>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</si>
  <si>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</si>
  <si>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</si>
  <si>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</si>
  <si>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</si>
  <si>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</si>
  <si>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</si>
  <si>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</si>
  <si>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</si>
  <si>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</si>
  <si>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</si>
  <si>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</si>
  <si>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</si>
  <si>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</si>
  <si>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</si>
  <si>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</si>
  <si>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</si>
  <si>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</si>
  <si>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</si>
  <si>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</si>
  <si>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</si>
  <si>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</si>
  <si>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</si>
  <si>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</si>
  <si>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</si>
  <si>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</si>
  <si>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</si>
  <si>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</si>
  <si>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</si>
  <si>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</si>
  <si>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</si>
  <si>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</si>
  <si>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</si>
  <si>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</si>
  <si>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</si>
  <si>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</si>
  <si>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</si>
  <si>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</si>
  <si>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</si>
  <si>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</si>
  <si>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</si>
  <si>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</si>
  <si>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</si>
  <si>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</si>
  <si>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</si>
  <si>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</si>
  <si>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</si>
  <si>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</si>
  <si>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</si>
  <si>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</si>
  <si>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</si>
  <si>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</si>
  <si>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</si>
  <si>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</si>
  <si>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</si>
  <si>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</si>
  <si>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</si>
  <si>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</si>
  <si>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</si>
  <si>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</si>
  <si>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</si>
  <si>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</si>
  <si>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</si>
  <si>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</si>
  <si>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</si>
  <si>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</si>
  <si>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</si>
  <si>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</si>
  <si>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</si>
  <si>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</si>
  <si>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</si>
  <si>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</si>
  <si>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</si>
  <si>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</si>
  <si>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</si>
  <si>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</si>
  <si>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</si>
  <si>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</si>
  <si>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</si>
  <si>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</si>
  <si>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</si>
  <si>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</si>
  <si>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</si>
  <si>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</si>
  <si>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</si>
  <si>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</si>
  <si>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</si>
  <si>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</si>
  <si>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</si>
  <si>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</si>
  <si>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</si>
  <si>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</si>
  <si>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</si>
  <si>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</si>
  <si>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</si>
  <si>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</si>
  <si>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</si>
  <si>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</si>
  <si>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</si>
  <si>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</si>
  <si>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</si>
  <si>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</si>
  <si>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</si>
  <si>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</si>
  <si>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</si>
  <si>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</si>
  <si>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</si>
  <si>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</si>
  <si>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</si>
  <si>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</si>
  <si>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</si>
  <si>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</si>
  <si>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</si>
  <si>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</si>
  <si>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</si>
  <si>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</si>
  <si>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</si>
  <si>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</si>
  <si>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</si>
  <si>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</si>
  <si>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</si>
  <si>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</si>
  <si>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</si>
  <si>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</si>
  <si>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</si>
  <si>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</si>
  <si>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</si>
  <si>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</si>
  <si>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</si>
  <si>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</si>
  <si>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</si>
  <si>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</si>
  <si>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</si>
  <si>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</si>
  <si>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</si>
  <si>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</si>
  <si>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</si>
  <si>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</si>
  <si>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</si>
  <si>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</si>
  <si>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</si>
  <si>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</si>
  <si>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employes to employment status</t>
  </si>
  <si>
    <t>Full Time</t>
  </si>
  <si>
    <t>Part Time</t>
  </si>
  <si>
    <t>Total</t>
  </si>
  <si>
    <t>Sum of Salary</t>
  </si>
  <si>
    <t>Salaries to Departments</t>
  </si>
  <si>
    <t>Column Labels</t>
  </si>
  <si>
    <t>Age range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</si>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</sst>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5" formatCode="_ * #,##0_ ;_ * \-#,##0_ ;_ * &quot;-&quot;??_ ;_ @_ "/>
    <numFmt numFmtId="172" formatCode="0.0"/>
  </numFmts>
  <fonts count="7">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1"/>
      <color theme="1"/>
      <name val="Kunstler Script"/>
      <family val="4"/>
    </font>
    <font>
      <sz val="11"/>
      <color theme="1"/>
      <name val="Kulim park"/>
    </font>
    <font>
      <b/>
      <sz val="11"/>
      <color theme="1"/>
      <name val="Kulim Park"/>
    </font>
  </fonts>
  <fills count="5">
    <fill>
      <patternFill patternType="none"/>
    </fill>
    <fill>
      <patternFill patternType="gray125"/>
    </fill>
    <fill>
      <patternFill patternType="solid">
        <fgColor rgb="FF282828"/>
        <bgColor indexed="64"/>
      </patternFill>
    </fill>
    <fill>
      <patternFill patternType="solid">
        <fgColor theme="0"/>
        <bgColor indexed="64"/>
      </patternFill>
    </fill>
    <fill>
      <patternFill patternType="solid">
        <fgColor theme="2" tint="-0.749992370372631"/>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4" fillId="2" borderId="0" xfId="0" applyFont="1" applyFill="1"/>
    <xf numFmtId="0" fontId="0" fillId="2" borderId="0" xfId="0" applyFill="1"/>
    <xf numFmtId="0" fontId="6" fillId="3" borderId="0" xfId="0" applyFont="1" applyFill="1" applyAlignment="1">
      <alignment horizontal="center" vertical="center"/>
    </xf>
    <xf numFmtId="0" fontId="5" fillId="3" borderId="0" xfId="0" applyFont="1" applyFill="1" applyAlignment="1">
      <alignment horizontal="center" vertical="center"/>
    </xf>
    <xf numFmtId="0" fontId="5"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3" fillId="4" borderId="0" xfId="0" applyFont="1" applyFill="1" applyAlignment="1">
      <alignment horizontal="left"/>
    </xf>
    <xf numFmtId="0" fontId="0" fillId="4" borderId="0" xfId="0" applyFill="1" applyAlignment="1">
      <alignment horizontal="center"/>
    </xf>
    <xf numFmtId="0" fontId="3" fillId="4" borderId="0" xfId="0" applyFont="1" applyFill="1" applyAlignment="1">
      <alignment horizontal="center"/>
    </xf>
    <xf numFmtId="165" fontId="0" fillId="0" borderId="0" xfId="0" applyNumberFormat="1"/>
    <xf numFmtId="165" fontId="0" fillId="0" borderId="0" xfId="1" applyNumberFormat="1" applyFont="1"/>
    <xf numFmtId="0" fontId="3" fillId="4" borderId="0" xfId="0" applyFont="1" applyFill="1" applyAlignment="1">
      <alignment horizontal="right"/>
    </xf>
    <xf numFmtId="0" fontId="0" fillId="4" borderId="0" xfId="0" applyFill="1" applyAlignment="1">
      <alignment horizontal="right"/>
    </xf>
    <xf numFmtId="10" fontId="2" fillId="0" borderId="0" xfId="0" applyNumberFormat="1" applyFont="1"/>
    <xf numFmtId="9" fontId="2" fillId="0" borderId="0" xfId="2" applyFont="1"/>
    <xf numFmtId="9" fontId="0" fillId="0" borderId="0" xfId="0" applyNumberFormat="1"/>
    <xf numFmtId="172" fontId="0" fillId="0" borderId="0" xfId="0" applyNumberFormat="1"/>
    <xf numFmtId="0" fontId="0" fillId="2" borderId="0" xfId="0" applyFill="1" applyAlignment="1">
      <alignment horizontal="center"/>
    </xf>
  </cellXfs>
  <cellStyles count="3">
    <cellStyle name="Comma" xfId="1" builtinId="3"/>
    <cellStyle name="Normal" xfId="0" builtinId="0"/>
    <cellStyle name="Percent" xfId="2" builtinId="5"/>
  </cellStyles>
  <dxfs count="29">
    <dxf>
      <numFmt numFmtId="172" formatCode="0.0"/>
    </dxf>
    <dxf>
      <numFmt numFmtId="165" formatCode="_ * #,##0_ ;_ * \-#,##0_ ;_ * &quot;-&quot;??_ ;_ @_ "/>
    </dxf>
    <dxf>
      <font>
        <b/>
        <i val="0"/>
        <sz val="10"/>
        <name val="Aptos Narrow"/>
        <family val="2"/>
        <scheme val="minor"/>
      </font>
      <fill>
        <patternFill>
          <fgColor rgb="FF1F1F1F"/>
          <bgColor rgb="FF1F1F1F"/>
        </patternFill>
      </fill>
    </dxf>
    <dxf>
      <font>
        <b/>
        <i val="0"/>
        <sz val="11"/>
        <color rgb="FF1F1F1F"/>
      </font>
      <fill>
        <patternFill>
          <fgColor rgb="FF1F1F1F"/>
          <bgColor rgb="FF1F1F1F"/>
        </patternFill>
      </fill>
    </dxf>
    <dxf>
      <fill>
        <patternFill patternType="solid">
          <fgColor rgb="FF1F1F1F"/>
          <bgColor rgb="FF1F1F1F"/>
        </patternFill>
      </fill>
    </dxf>
    <dxf>
      <font>
        <name val="Aptos Narrow"/>
        <family val="2"/>
        <scheme val="minor"/>
      </font>
      <fill>
        <patternFill>
          <fgColor rgb="FF1F1F1F"/>
        </patternFill>
      </fill>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
      <font>
        <b/>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s>
  <tableStyles count="6" defaultTableStyle="TableStyleMedium2" defaultPivotStyle="PivotStyleLight16">
    <tableStyle name="Slicer Style 1" pivot="0" table="0" count="1" xr9:uid="{20692A93-577B-4CE5-BFDD-C4E9B26DD72F}">
      <tableStyleElement type="wholeTable" dxfId="5"/>
    </tableStyle>
    <tableStyle name="Slicer Style 2" pivot="0" table="0" count="2" xr9:uid="{AF0BC23C-415C-454D-B668-C9E570ACB2C0}">
      <tableStyleElement type="wholeTable" dxfId="4"/>
    </tableStyle>
    <tableStyle name="Slicer Style 3" pivot="0" table="0" count="1" xr9:uid="{8C207901-B6A8-472C-BF29-3683D34FC387}"/>
    <tableStyle name="Slicer Style 4" pivot="0" table="0" count="1" xr9:uid="{1F717CE9-4F90-4E5E-B9AA-1C7AAE62A6B1}">
      <tableStyleElement type="wholeTable" dxfId="3"/>
    </tableStyle>
    <tableStyle name="Slicer Style 5" pivot="0" table="0" count="2" xr9:uid="{279E54C2-E99B-4AAF-B377-6EBB19AEE290}"/>
    <tableStyle name="Slicer Style 6" pivot="0" table="0" count="6" xr9:uid="{6DDA2D5C-E59A-4B2A-B51B-88C7B9147FD1}">
      <tableStyleElement type="wholeTable" dxfId="2"/>
    </tableStyle>
  </tableStyles>
  <colors>
    <mruColors>
      <color rgb="FFE5B244"/>
      <color rgb="FF282828"/>
      <color rgb="FF1F1F1F"/>
      <color rgb="FF948A54"/>
      <color rgb="FF77933C"/>
    </mruColors>
  </colors>
  <extLst>
    <ext xmlns:x14="http://schemas.microsoft.com/office/spreadsheetml/2009/9/main" uri="{46F421CA-312F-682f-3DD2-61675219B42D}">
      <x14:dxfs count="9">
        <dxf>
          <font>
            <b/>
            <i val="0"/>
            <color rgb="FFE5B244"/>
            <name val="Aptos Narrow"/>
            <family val="2"/>
            <scheme val="minor"/>
          </font>
          <fill>
            <patternFill>
              <bgColor rgb="FFE5B244"/>
            </patternFill>
          </fill>
        </dxf>
        <dxf>
          <font>
            <b/>
            <i val="0"/>
            <sz val="10"/>
            <name val="Aptos Narrow"/>
            <family val="2"/>
            <scheme val="minor"/>
          </font>
          <fill>
            <patternFill>
              <fgColor rgb="FFE5B244"/>
              <bgColor rgb="FFE5B244"/>
            </patternFill>
          </fill>
        </dxf>
        <dxf>
          <font>
            <b/>
            <i val="0"/>
            <name val="Aptos Narrow"/>
            <family val="2"/>
            <scheme val="minor"/>
          </font>
          <fill>
            <patternFill>
              <fgColor rgb="FFE5B244"/>
              <bgColor rgb="FFE5B244"/>
            </patternFill>
          </fill>
        </dxf>
        <dxf>
          <fill>
            <patternFill>
              <fgColor rgb="FFE5B244"/>
              <bgColor rgb="FFE5B244"/>
            </patternFill>
          </fill>
        </dxf>
        <dxf>
          <font>
            <b/>
            <i val="0"/>
            <sz val="10"/>
            <name val="Aptos Narrow"/>
            <family val="2"/>
            <scheme val="minor"/>
          </font>
          <fill>
            <patternFill>
              <fgColor rgb="FFE5B244"/>
              <bgColor rgb="FFE5B244"/>
            </patternFill>
          </fill>
        </dxf>
        <dxf>
          <font>
            <b/>
            <i val="0"/>
            <color rgb="FF1F1F1F"/>
            <name val="Aptos Narrow"/>
            <family val="2"/>
            <scheme val="minor"/>
          </font>
          <fill>
            <patternFill>
              <fgColor rgb="FFE5B244"/>
              <bgColor rgb="FFE5B244"/>
            </patternFill>
          </fill>
        </dxf>
        <dxf>
          <font>
            <b val="0"/>
            <i val="0"/>
            <color rgb="FF1F1F1F"/>
            <name val="Aptos Narrow"/>
            <family val="2"/>
            <scheme val="minor"/>
          </font>
          <fill>
            <patternFill>
              <fgColor rgb="FFE5B244"/>
              <bgColor rgb="FFE5B244"/>
            </patternFill>
          </fill>
        </dxf>
        <dxf>
          <fill>
            <patternFill>
              <fgColor rgb="FFE5B244"/>
              <bgColor rgb="FFE5B244"/>
            </patternFill>
          </fill>
        </dxf>
        <dxf>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8"/>
          </x14:slicerStyleElements>
        </x14:slicerStyle>
        <x14:slicerStyle name="Slicer Style 3">
          <x14:slicerStyleElements>
            <x14:slicerStyleElement type="selectedItemWithNoData" dxfId="7"/>
          </x14:slicerStyleElements>
        </x14:slicerStyle>
        <x14:slicerStyle name="Slicer Style 4"/>
        <x14:slicerStyle name="Slicer Style 5">
          <x14:slicerStyleElements>
            <x14:slicerStyleElement type="selectedItemWithData" dxfId="6"/>
            <x14:slicerStyleElement type="hoveredSelectedItemWithData" dxfId="5"/>
          </x14:slicerStyleElements>
        </x14:slicerStyle>
        <x14:slicerStyle name="Slicer Style 6">
          <x14:slicerStyleElements>
            <x14:slicerStyleElement type="unselectedItemWithData" dxfId="2"/>
            <x14:slicerStyleElement type="selectedItemWithData" dxfId="4"/>
            <x14:slicerStyleElement type="selectedItemWithNoData" dxfId="3"/>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38100">
              <a:solidFill>
                <a:srgbClr val="1F1F1F"/>
              </a:solidFill>
            </a:ln>
          </c:spPr>
          <c:dPt>
            <c:idx val="0"/>
            <c:bubble3D val="0"/>
            <c:spPr>
              <a:solidFill>
                <a:srgbClr val="E5B244"/>
              </a:solidFill>
              <a:ln w="38100">
                <a:solidFill>
                  <a:srgbClr val="1F1F1F"/>
                </a:solidFill>
              </a:ln>
              <a:effectLst/>
            </c:spPr>
            <c:extLst>
              <c:ext xmlns:c16="http://schemas.microsoft.com/office/drawing/2014/chart" uri="{C3380CC4-5D6E-409C-BE32-E72D297353CC}">
                <c16:uniqueId val="{00000001-E658-48D7-A806-3D5498F1F2CD}"/>
              </c:ext>
            </c:extLst>
          </c:dPt>
          <c:dPt>
            <c:idx val="1"/>
            <c:bubble3D val="0"/>
            <c:spPr>
              <a:solidFill>
                <a:schemeClr val="tx1">
                  <a:lumMod val="75000"/>
                  <a:lumOff val="25000"/>
                </a:schemeClr>
              </a:solidFill>
              <a:ln w="38100">
                <a:solidFill>
                  <a:srgbClr val="1F1F1F"/>
                </a:solidFill>
              </a:ln>
              <a:effectLst/>
            </c:spPr>
            <c:extLst>
              <c:ext xmlns:c16="http://schemas.microsoft.com/office/drawing/2014/chart" uri="{C3380CC4-5D6E-409C-BE32-E72D297353CC}">
                <c16:uniqueId val="{00000003-E658-48D7-A806-3D5498F1F2CD}"/>
              </c:ext>
            </c:extLst>
          </c:dPt>
          <c:dPt>
            <c:idx val="2"/>
            <c:bubble3D val="0"/>
            <c:spPr>
              <a:solidFill>
                <a:schemeClr val="bg1">
                  <a:lumMod val="85000"/>
                </a:schemeClr>
              </a:solidFill>
              <a:ln w="38100">
                <a:solidFill>
                  <a:srgbClr val="1F1F1F"/>
                </a:solidFill>
              </a:ln>
              <a:effectLst/>
            </c:spPr>
            <c:extLst>
              <c:ext xmlns:c16="http://schemas.microsoft.com/office/drawing/2014/chart" uri="{C3380CC4-5D6E-409C-BE32-E72D297353CC}">
                <c16:uniqueId val="{00000005-E658-48D7-A806-3D5498F1F2CD}"/>
              </c:ext>
            </c:extLst>
          </c:dPt>
          <c:cat>
            <c:strRef>
              <c:f>'Pivot Tables'!$B$10:$B$12</c:f>
              <c:strCache>
                <c:ptCount val="3"/>
                <c:pt idx="0">
                  <c:v>Contract</c:v>
                </c:pt>
                <c:pt idx="1">
                  <c:v>Full Time</c:v>
                </c:pt>
                <c:pt idx="2">
                  <c:v>Part Time</c:v>
                </c:pt>
              </c:strCache>
            </c:strRef>
          </c:cat>
          <c:val>
            <c:numRef>
              <c:f>'Pivot Tables'!$C$10:$C$12</c:f>
              <c:numCache>
                <c:formatCode>General</c:formatCode>
                <c:ptCount val="3"/>
                <c:pt idx="0">
                  <c:v>5</c:v>
                </c:pt>
                <c:pt idx="1">
                  <c:v>5</c:v>
                </c:pt>
                <c:pt idx="2">
                  <c:v>2</c:v>
                </c:pt>
              </c:numCache>
            </c:numRef>
          </c:val>
          <c:extLst>
            <c:ext xmlns:c16="http://schemas.microsoft.com/office/drawing/2014/chart" uri="{C3380CC4-5D6E-409C-BE32-E72D297353CC}">
              <c16:uniqueId val="{00000006-E658-48D7-A806-3D5498F1F2C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Tables!Age Range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B244"/>
          </a:solidFill>
          <a:ln>
            <a:noFill/>
          </a:ln>
          <a:effectLst/>
        </c:spPr>
      </c:pivotFmt>
    </c:pivotFmts>
    <c:plotArea>
      <c:layout>
        <c:manualLayout>
          <c:layoutTarget val="inner"/>
          <c:xMode val="edge"/>
          <c:yMode val="edge"/>
          <c:x val="5.8386411889596604E-2"/>
          <c:y val="5.4012345679012343E-2"/>
          <c:w val="0.88322717622080682"/>
          <c:h val="0.80618620589093026"/>
        </c:manualLayout>
      </c:layout>
      <c:barChart>
        <c:barDir val="col"/>
        <c:grouping val="clustered"/>
        <c:varyColors val="0"/>
        <c:ser>
          <c:idx val="0"/>
          <c:order val="0"/>
          <c:tx>
            <c:strRef>
              <c:f>'Pivot Tables'!$K$3:$K$4</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Tables'!$J$5:$J$10</c:f>
              <c:strCache>
                <c:ptCount val="5"/>
                <c:pt idx="0">
                  <c:v>18-25</c:v>
                </c:pt>
                <c:pt idx="1">
                  <c:v>26-35</c:v>
                </c:pt>
                <c:pt idx="2">
                  <c:v>36-45</c:v>
                </c:pt>
                <c:pt idx="3">
                  <c:v>46-55</c:v>
                </c:pt>
                <c:pt idx="4">
                  <c:v>56 &lt;</c:v>
                </c:pt>
              </c:strCache>
            </c:strRef>
          </c:cat>
          <c:val>
            <c:numRef>
              <c:f>'Pivot Tables'!$K$5:$K$10</c:f>
              <c:numCache>
                <c:formatCode>General</c:formatCode>
                <c:ptCount val="5"/>
                <c:pt idx="0">
                  <c:v>1</c:v>
                </c:pt>
                <c:pt idx="1">
                  <c:v>1</c:v>
                </c:pt>
                <c:pt idx="2">
                  <c:v>1</c:v>
                </c:pt>
                <c:pt idx="3">
                  <c:v>2</c:v>
                </c:pt>
                <c:pt idx="4">
                  <c:v>1</c:v>
                </c:pt>
              </c:numCache>
            </c:numRef>
          </c:val>
          <c:extLst>
            <c:ext xmlns:c16="http://schemas.microsoft.com/office/drawing/2014/chart" uri="{C3380CC4-5D6E-409C-BE32-E72D297353CC}">
              <c16:uniqueId val="{00000000-1A72-43BB-B7D6-94640ADA24A5}"/>
            </c:ext>
          </c:extLst>
        </c:ser>
        <c:ser>
          <c:idx val="1"/>
          <c:order val="1"/>
          <c:tx>
            <c:strRef>
              <c:f>'Pivot Tables'!$L$3:$L$4</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Tables'!$J$5:$J$10</c:f>
              <c:strCache>
                <c:ptCount val="5"/>
                <c:pt idx="0">
                  <c:v>18-25</c:v>
                </c:pt>
                <c:pt idx="1">
                  <c:v>26-35</c:v>
                </c:pt>
                <c:pt idx="2">
                  <c:v>36-45</c:v>
                </c:pt>
                <c:pt idx="3">
                  <c:v>46-55</c:v>
                </c:pt>
                <c:pt idx="4">
                  <c:v>56 &lt;</c:v>
                </c:pt>
              </c:strCache>
            </c:strRef>
          </c:cat>
          <c:val>
            <c:numRef>
              <c:f>'Pivot Tables'!$L$5:$L$10</c:f>
              <c:numCache>
                <c:formatCode>General</c:formatCode>
                <c:ptCount val="5"/>
                <c:pt idx="0">
                  <c:v>1</c:v>
                </c:pt>
                <c:pt idx="1">
                  <c:v>2</c:v>
                </c:pt>
                <c:pt idx="2">
                  <c:v>1</c:v>
                </c:pt>
                <c:pt idx="3">
                  <c:v>1</c:v>
                </c:pt>
                <c:pt idx="4">
                  <c:v>1</c:v>
                </c:pt>
              </c:numCache>
            </c:numRef>
          </c:val>
          <c:extLst>
            <c:ext xmlns:c16="http://schemas.microsoft.com/office/drawing/2014/chart" uri="{C3380CC4-5D6E-409C-BE32-E72D297353CC}">
              <c16:uniqueId val="{00000005-1A72-43BB-B7D6-94640ADA24A5}"/>
            </c:ext>
          </c:extLst>
        </c:ser>
        <c:dLbls>
          <c:dLblPos val="outEnd"/>
          <c:showLegendKey val="0"/>
          <c:showVal val="1"/>
          <c:showCatName val="0"/>
          <c:showSerName val="0"/>
          <c:showPercent val="0"/>
          <c:showBubbleSize val="0"/>
        </c:dLbls>
        <c:gapWidth val="219"/>
        <c:overlap val="-27"/>
        <c:axId val="942981888"/>
        <c:axId val="942990528"/>
      </c:barChart>
      <c:catAx>
        <c:axId val="9429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2990528"/>
        <c:crosses val="autoZero"/>
        <c:auto val="1"/>
        <c:lblAlgn val="ctr"/>
        <c:lblOffset val="100"/>
        <c:noMultiLvlLbl val="0"/>
      </c:catAx>
      <c:valAx>
        <c:axId val="942990528"/>
        <c:scaling>
          <c:orientation val="minMax"/>
        </c:scaling>
        <c:delete val="1"/>
        <c:axPos val="l"/>
        <c:majorGridlines>
          <c:spPr>
            <a:ln w="9525" cap="flat" cmpd="sng" algn="ctr">
              <a:solidFill>
                <a:schemeClr val="tx1">
                  <a:lumMod val="15000"/>
                  <a:lumOff val="85000"/>
                </a:schemeClr>
              </a:solidFill>
              <a:prstDash val="sysDot"/>
              <a:round/>
            </a:ln>
            <a:effectLst/>
          </c:spPr>
        </c:majorGridlines>
        <c:numFmt formatCode="General" sourceLinked="1"/>
        <c:majorTickMark val="none"/>
        <c:minorTickMark val="none"/>
        <c:tickLblPos val="nextTo"/>
        <c:crossAx val="942981888"/>
        <c:crosses val="autoZero"/>
        <c:crossBetween val="between"/>
      </c:valAx>
      <c:spPr>
        <a:noFill/>
        <a:ln>
          <a:solidFill>
            <a:srgbClr val="1F1F1F">
              <a:alpha val="49000"/>
            </a:srgbClr>
          </a:solidFill>
          <a:prstDash val="sysDot"/>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 Tables'!$O$17</c:f>
              <c:numCache>
                <c:formatCode>0%</c:formatCode>
                <c:ptCount val="1"/>
                <c:pt idx="0">
                  <c:v>0.33333333333333331</c:v>
                </c:pt>
              </c:numCache>
            </c:numRef>
          </c:val>
          <c:extLst>
            <c:ext xmlns:c16="http://schemas.microsoft.com/office/drawing/2014/chart" uri="{C3380CC4-5D6E-409C-BE32-E72D297353CC}">
              <c16:uniqueId val="{00000000-EE94-4BCA-8622-F43C780AC20C}"/>
            </c:ext>
          </c:extLst>
        </c:ser>
        <c:ser>
          <c:idx val="1"/>
          <c:order val="1"/>
          <c:spPr>
            <a:solidFill>
              <a:schemeClr val="accent2"/>
            </a:solidFill>
            <a:ln>
              <a:noFill/>
            </a:ln>
            <a:effectLst/>
          </c:spPr>
          <c:invertIfNegative val="0"/>
          <c:val>
            <c:numRef>
              <c:f>'Pivot Tables'!$R$12</c:f>
              <c:numCache>
                <c:formatCode>General</c:formatCode>
                <c:ptCount val="1"/>
                <c:pt idx="0">
                  <c:v>0</c:v>
                </c:pt>
              </c:numCache>
            </c:numRef>
          </c:val>
          <c:extLst>
            <c:ext xmlns:c16="http://schemas.microsoft.com/office/drawing/2014/chart" uri="{C3380CC4-5D6E-409C-BE32-E72D297353CC}">
              <c16:uniqueId val="{00000001-EE94-4BCA-8622-F43C780AC20C}"/>
            </c:ext>
          </c:extLst>
        </c:ser>
        <c:dLbls>
          <c:showLegendKey val="0"/>
          <c:showVal val="0"/>
          <c:showCatName val="0"/>
          <c:showSerName val="0"/>
          <c:showPercent val="0"/>
          <c:showBubbleSize val="0"/>
        </c:dLbls>
        <c:gapWidth val="150"/>
        <c:overlap val="100"/>
        <c:axId val="1009984288"/>
        <c:axId val="1009993888"/>
      </c:barChart>
      <c:catAx>
        <c:axId val="1009984288"/>
        <c:scaling>
          <c:orientation val="minMax"/>
        </c:scaling>
        <c:delete val="1"/>
        <c:axPos val="l"/>
        <c:majorTickMark val="none"/>
        <c:minorTickMark val="none"/>
        <c:tickLblPos val="nextTo"/>
        <c:crossAx val="1009993888"/>
        <c:crosses val="autoZero"/>
        <c:auto val="1"/>
        <c:lblAlgn val="ctr"/>
        <c:lblOffset val="100"/>
        <c:noMultiLvlLbl val="0"/>
      </c:catAx>
      <c:valAx>
        <c:axId val="1009993888"/>
        <c:scaling>
          <c:orientation val="minMax"/>
        </c:scaling>
        <c:delete val="1"/>
        <c:axPos val="b"/>
        <c:numFmt formatCode="0%" sourceLinked="1"/>
        <c:majorTickMark val="none"/>
        <c:minorTickMark val="none"/>
        <c:tickLblPos val="nextTo"/>
        <c:crossAx val="100998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 Tables'!$O$18</c:f>
              <c:numCache>
                <c:formatCode>0%</c:formatCode>
                <c:ptCount val="1"/>
                <c:pt idx="0">
                  <c:v>0.33333333333333331</c:v>
                </c:pt>
              </c:numCache>
            </c:numRef>
          </c:val>
          <c:extLst>
            <c:ext xmlns:c16="http://schemas.microsoft.com/office/drawing/2014/chart" uri="{C3380CC4-5D6E-409C-BE32-E72D297353CC}">
              <c16:uniqueId val="{00000000-2825-4299-8E58-DD23A586F37D}"/>
            </c:ext>
          </c:extLst>
        </c:ser>
        <c:ser>
          <c:idx val="1"/>
          <c:order val="1"/>
          <c:spPr>
            <a:solidFill>
              <a:schemeClr val="accent2"/>
            </a:solidFill>
            <a:ln>
              <a:noFill/>
            </a:ln>
            <a:effectLst/>
          </c:spPr>
          <c:invertIfNegative val="0"/>
          <c:val>
            <c:numRef>
              <c:f>'Pivot Tables'!$R$13</c:f>
              <c:numCache>
                <c:formatCode>General</c:formatCode>
                <c:ptCount val="1"/>
                <c:pt idx="0">
                  <c:v>0</c:v>
                </c:pt>
              </c:numCache>
            </c:numRef>
          </c:val>
          <c:extLst>
            <c:ext xmlns:c16="http://schemas.microsoft.com/office/drawing/2014/chart" uri="{C3380CC4-5D6E-409C-BE32-E72D297353CC}">
              <c16:uniqueId val="{00000001-2825-4299-8E58-DD23A586F37D}"/>
            </c:ext>
          </c:extLst>
        </c:ser>
        <c:dLbls>
          <c:showLegendKey val="0"/>
          <c:showVal val="0"/>
          <c:showCatName val="0"/>
          <c:showSerName val="0"/>
          <c:showPercent val="0"/>
          <c:showBubbleSize val="0"/>
        </c:dLbls>
        <c:gapWidth val="150"/>
        <c:overlap val="100"/>
        <c:axId val="1009987648"/>
        <c:axId val="1009996288"/>
      </c:barChart>
      <c:catAx>
        <c:axId val="1009987648"/>
        <c:scaling>
          <c:orientation val="minMax"/>
        </c:scaling>
        <c:delete val="1"/>
        <c:axPos val="l"/>
        <c:majorTickMark val="none"/>
        <c:minorTickMark val="none"/>
        <c:tickLblPos val="nextTo"/>
        <c:crossAx val="1009996288"/>
        <c:crosses val="autoZero"/>
        <c:auto val="1"/>
        <c:lblAlgn val="ctr"/>
        <c:lblOffset val="100"/>
        <c:noMultiLvlLbl val="0"/>
      </c:catAx>
      <c:valAx>
        <c:axId val="1009996288"/>
        <c:scaling>
          <c:orientation val="minMax"/>
        </c:scaling>
        <c:delete val="1"/>
        <c:axPos val="b"/>
        <c:numFmt formatCode="0%" sourceLinked="1"/>
        <c:majorTickMark val="none"/>
        <c:minorTickMark val="none"/>
        <c:tickLblPos val="nextTo"/>
        <c:crossAx val="100998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 Tables'!$O$19</c:f>
              <c:numCache>
                <c:formatCode>0%</c:formatCode>
                <c:ptCount val="1"/>
                <c:pt idx="0">
                  <c:v>0.33333333333333331</c:v>
                </c:pt>
              </c:numCache>
            </c:numRef>
          </c:val>
          <c:extLst>
            <c:ext xmlns:c16="http://schemas.microsoft.com/office/drawing/2014/chart" uri="{C3380CC4-5D6E-409C-BE32-E72D297353CC}">
              <c16:uniqueId val="{00000000-E95A-4D23-BCB7-066B40012481}"/>
            </c:ext>
          </c:extLst>
        </c:ser>
        <c:ser>
          <c:idx val="1"/>
          <c:order val="1"/>
          <c:spPr>
            <a:solidFill>
              <a:schemeClr val="accent2"/>
            </a:solidFill>
            <a:ln>
              <a:noFill/>
            </a:ln>
            <a:effectLst/>
          </c:spPr>
          <c:invertIfNegative val="0"/>
          <c:val>
            <c:numRef>
              <c:f>'Pivot Tables'!$R$14</c:f>
              <c:numCache>
                <c:formatCode>General</c:formatCode>
                <c:ptCount val="1"/>
                <c:pt idx="0">
                  <c:v>0</c:v>
                </c:pt>
              </c:numCache>
            </c:numRef>
          </c:val>
          <c:extLst>
            <c:ext xmlns:c16="http://schemas.microsoft.com/office/drawing/2014/chart" uri="{C3380CC4-5D6E-409C-BE32-E72D297353CC}">
              <c16:uniqueId val="{00000001-E95A-4D23-BCB7-066B40012481}"/>
            </c:ext>
          </c:extLst>
        </c:ser>
        <c:dLbls>
          <c:showLegendKey val="0"/>
          <c:showVal val="0"/>
          <c:showCatName val="0"/>
          <c:showSerName val="0"/>
          <c:showPercent val="0"/>
          <c:showBubbleSize val="0"/>
        </c:dLbls>
        <c:gapWidth val="150"/>
        <c:overlap val="100"/>
        <c:axId val="1010008288"/>
        <c:axId val="896985792"/>
      </c:barChart>
      <c:catAx>
        <c:axId val="1010008288"/>
        <c:scaling>
          <c:orientation val="minMax"/>
        </c:scaling>
        <c:delete val="1"/>
        <c:axPos val="l"/>
        <c:majorTickMark val="none"/>
        <c:minorTickMark val="none"/>
        <c:tickLblPos val="nextTo"/>
        <c:crossAx val="896985792"/>
        <c:crosses val="autoZero"/>
        <c:auto val="1"/>
        <c:lblAlgn val="ctr"/>
        <c:lblOffset val="100"/>
        <c:noMultiLvlLbl val="0"/>
      </c:catAx>
      <c:valAx>
        <c:axId val="896985792"/>
        <c:scaling>
          <c:orientation val="minMax"/>
        </c:scaling>
        <c:delete val="1"/>
        <c:axPos val="b"/>
        <c:numFmt formatCode="0%" sourceLinked="1"/>
        <c:majorTickMark val="none"/>
        <c:minorTickMark val="none"/>
        <c:tickLblPos val="nextTo"/>
        <c:crossAx val="101000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E5B244"/>
            </a:solidFill>
            <a:ln>
              <a:noFill/>
            </a:ln>
          </c:spPr>
          <c:dPt>
            <c:idx val="0"/>
            <c:bubble3D val="0"/>
            <c:spPr>
              <a:solidFill>
                <a:srgbClr val="E5B244"/>
              </a:solidFill>
              <a:ln w="19050">
                <a:noFill/>
              </a:ln>
              <a:effectLst/>
            </c:spPr>
            <c:extLst>
              <c:ext xmlns:c16="http://schemas.microsoft.com/office/drawing/2014/chart" uri="{C3380CC4-5D6E-409C-BE32-E72D297353CC}">
                <c16:uniqueId val="{00000001-7B31-42F4-9D1F-8554B8E57126}"/>
              </c:ext>
            </c:extLst>
          </c:dPt>
          <c:dPt>
            <c:idx val="1"/>
            <c:bubble3D val="0"/>
            <c:spPr>
              <a:solidFill>
                <a:srgbClr val="1F1F1F"/>
              </a:solidFill>
              <a:ln w="19050">
                <a:noFill/>
              </a:ln>
              <a:effectLst/>
            </c:spPr>
            <c:extLst>
              <c:ext xmlns:c16="http://schemas.microsoft.com/office/drawing/2014/chart" uri="{C3380CC4-5D6E-409C-BE32-E72D297353CC}">
                <c16:uniqueId val="{00000003-7B31-42F4-9D1F-8554B8E57126}"/>
              </c:ext>
            </c:extLst>
          </c:dPt>
          <c:val>
            <c:numRef>
              <c:f>'Pivot Tables'!$L$21:$M$21</c:f>
              <c:numCache>
                <c:formatCode>0%</c:formatCode>
                <c:ptCount val="2"/>
                <c:pt idx="0">
                  <c:v>0.5</c:v>
                </c:pt>
                <c:pt idx="1">
                  <c:v>0.5</c:v>
                </c:pt>
              </c:numCache>
            </c:numRef>
          </c:val>
          <c:extLst>
            <c:ext xmlns:c16="http://schemas.microsoft.com/office/drawing/2014/chart" uri="{C3380CC4-5D6E-409C-BE32-E72D297353CC}">
              <c16:uniqueId val="{00000004-7B31-42F4-9D1F-8554B8E571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bg1"/>
              </a:solid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4FF6-4B8B-A860-58E91F67D64F}"/>
              </c:ext>
            </c:extLst>
          </c:dPt>
          <c:dPt>
            <c:idx val="1"/>
            <c:bubble3D val="0"/>
            <c:spPr>
              <a:solidFill>
                <a:srgbClr val="1F1F1F"/>
              </a:solidFill>
              <a:ln w="19050">
                <a:noFill/>
              </a:ln>
              <a:effectLst/>
            </c:spPr>
            <c:extLst>
              <c:ext xmlns:c16="http://schemas.microsoft.com/office/drawing/2014/chart" uri="{C3380CC4-5D6E-409C-BE32-E72D297353CC}">
                <c16:uniqueId val="{00000003-4FF6-4B8B-A860-58E91F67D64F}"/>
              </c:ext>
            </c:extLst>
          </c:dPt>
          <c:val>
            <c:numRef>
              <c:f>'Pivot Tables'!$L$20:$M$20</c:f>
              <c:numCache>
                <c:formatCode>0%</c:formatCode>
                <c:ptCount val="2"/>
                <c:pt idx="0">
                  <c:v>0.5</c:v>
                </c:pt>
                <c:pt idx="1">
                  <c:v>0.5</c:v>
                </c:pt>
              </c:numCache>
            </c:numRef>
          </c:val>
          <c:extLst>
            <c:ext xmlns:c16="http://schemas.microsoft.com/office/drawing/2014/chart" uri="{C3380CC4-5D6E-409C-BE32-E72D297353CC}">
              <c16:uniqueId val="{00000004-4FF6-4B8B-A860-58E91F67D64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Tables'!$F$11</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Tables'!$H$11</c:f>
              <c:numCache>
                <c:formatCode>_ * #,##0_ ;_ * \-#,##0_ ;_ * "-"??_ ;_ @_ </c:formatCode>
                <c:ptCount val="1"/>
                <c:pt idx="0">
                  <c:v>8</c:v>
                </c:pt>
              </c:numCache>
            </c:numRef>
          </c:val>
          <c:extLst>
            <c:ext xmlns:c16="http://schemas.microsoft.com/office/drawing/2014/chart" uri="{C3380CC4-5D6E-409C-BE32-E72D297353CC}">
              <c16:uniqueId val="{00000000-5C83-4061-BD10-4026618EE93C}"/>
            </c:ext>
          </c:extLst>
        </c:ser>
        <c:ser>
          <c:idx val="1"/>
          <c:order val="1"/>
          <c:tx>
            <c:strRef>
              <c:f>'Pivot Tables'!$F$12</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Tables'!$H$12</c:f>
              <c:numCache>
                <c:formatCode>_ * #,##0_ ;_ * \-#,##0_ ;_ * "-"??_ ;_ @_ </c:formatCode>
                <c:ptCount val="1"/>
                <c:pt idx="0">
                  <c:v>18</c:v>
                </c:pt>
              </c:numCache>
            </c:numRef>
          </c:val>
          <c:extLst>
            <c:ext xmlns:c16="http://schemas.microsoft.com/office/drawing/2014/chart" uri="{C3380CC4-5D6E-409C-BE32-E72D297353CC}">
              <c16:uniqueId val="{00000001-5C83-4061-BD10-4026618EE93C}"/>
            </c:ext>
          </c:extLst>
        </c:ser>
        <c:ser>
          <c:idx val="2"/>
          <c:order val="2"/>
          <c:tx>
            <c:strRef>
              <c:f>'Pivot Tables'!$F$13</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Tables'!$H$13</c:f>
              <c:numCache>
                <c:formatCode>_ * #,##0_ ;_ * \-#,##0_ ;_ * "-"??_ ;_ @_ </c:formatCode>
                <c:ptCount val="1"/>
                <c:pt idx="0">
                  <c:v>46</c:v>
                </c:pt>
              </c:numCache>
            </c:numRef>
          </c:val>
          <c:extLst>
            <c:ext xmlns:c16="http://schemas.microsoft.com/office/drawing/2014/chart" uri="{C3380CC4-5D6E-409C-BE32-E72D297353CC}">
              <c16:uniqueId val="{00000002-5C83-4061-BD10-4026618EE93C}"/>
            </c:ext>
          </c:extLst>
        </c:ser>
        <c:ser>
          <c:idx val="3"/>
          <c:order val="3"/>
          <c:tx>
            <c:strRef>
              <c:f>'Pivot Tables'!$F$14</c:f>
              <c:strCache>
                <c:ptCount val="1"/>
                <c:pt idx="0">
                  <c:v>HR Specialist</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Tables'!$H$14</c:f>
              <c:numCache>
                <c:formatCode>_ * #,##0_ ;_ * \-#,##0_ ;_ * "-"??_ ;_ @_ </c:formatCode>
                <c:ptCount val="1"/>
                <c:pt idx="0">
                  <c:v>0</c:v>
                </c:pt>
              </c:numCache>
            </c:numRef>
          </c:val>
          <c:extLst>
            <c:ext xmlns:c16="http://schemas.microsoft.com/office/drawing/2014/chart" uri="{C3380CC4-5D6E-409C-BE32-E72D297353CC}">
              <c16:uniqueId val="{00000003-5C83-4061-BD10-4026618EE93C}"/>
            </c:ext>
          </c:extLst>
        </c:ser>
        <c:ser>
          <c:idx val="4"/>
          <c:order val="4"/>
          <c:tx>
            <c:strRef>
              <c:f>'Pivot Tables'!$F$15</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Tables'!$H$15</c:f>
              <c:numCache>
                <c:formatCode>_ * #,##0_ ;_ * \-#,##0_ ;_ * "-"??_ ;_ @_ </c:formatCode>
                <c:ptCount val="1"/>
                <c:pt idx="0">
                  <c:v>32</c:v>
                </c:pt>
              </c:numCache>
            </c:numRef>
          </c:val>
          <c:extLst>
            <c:ext xmlns:c16="http://schemas.microsoft.com/office/drawing/2014/chart" uri="{C3380CC4-5D6E-409C-BE32-E72D297353CC}">
              <c16:uniqueId val="{00000004-5C83-4061-BD10-4026618EE93C}"/>
            </c:ext>
          </c:extLst>
        </c:ser>
        <c:dLbls>
          <c:dLblPos val="outEnd"/>
          <c:showLegendKey val="0"/>
          <c:showVal val="1"/>
          <c:showCatName val="0"/>
          <c:showSerName val="0"/>
          <c:showPercent val="0"/>
          <c:showBubbleSize val="0"/>
        </c:dLbls>
        <c:gapWidth val="219"/>
        <c:overlap val="-27"/>
        <c:axId val="895899776"/>
        <c:axId val="895901216"/>
      </c:barChart>
      <c:catAx>
        <c:axId val="895899776"/>
        <c:scaling>
          <c:orientation val="minMax"/>
        </c:scaling>
        <c:delete val="1"/>
        <c:axPos val="b"/>
        <c:numFmt formatCode="General" sourceLinked="1"/>
        <c:majorTickMark val="none"/>
        <c:minorTickMark val="none"/>
        <c:tickLblPos val="nextTo"/>
        <c:crossAx val="895901216"/>
        <c:crosses val="autoZero"/>
        <c:auto val="1"/>
        <c:lblAlgn val="ctr"/>
        <c:lblOffset val="100"/>
        <c:noMultiLvlLbl val="0"/>
      </c:catAx>
      <c:valAx>
        <c:axId val="895901216"/>
        <c:scaling>
          <c:orientation val="minMax"/>
        </c:scaling>
        <c:delete val="1"/>
        <c:axPos val="l"/>
        <c:majorGridlines>
          <c:spPr>
            <a:ln w="9525" cap="rnd" cmpd="sng" algn="ctr">
              <a:solidFill>
                <a:schemeClr val="accent2">
                  <a:lumMod val="60000"/>
                  <a:lumOff val="40000"/>
                  <a:alpha val="34000"/>
                </a:schemeClr>
              </a:solidFill>
              <a:prstDash val="dashDot"/>
              <a:round/>
            </a:ln>
            <a:effectLst/>
          </c:spPr>
        </c:majorGridlines>
        <c:numFmt formatCode="_ * #,##0_ ;_ * \-#,##0_ ;_ * &quot;-&quot;??_ ;_ @_ " sourceLinked="1"/>
        <c:majorTickMark val="none"/>
        <c:minorTickMark val="none"/>
        <c:tickLblPos val="nextTo"/>
        <c:crossAx val="89589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Tables'!$C$20</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Tables'!$B$21:$B$26</c:f>
              <c:strCache>
                <c:ptCount val="5"/>
                <c:pt idx="0">
                  <c:v>Central</c:v>
                </c:pt>
                <c:pt idx="1">
                  <c:v>East</c:v>
                </c:pt>
                <c:pt idx="2">
                  <c:v>North</c:v>
                </c:pt>
                <c:pt idx="3">
                  <c:v>South</c:v>
                </c:pt>
                <c:pt idx="4">
                  <c:v>West</c:v>
                </c:pt>
              </c:strCache>
            </c:strRef>
          </c:cat>
          <c:val>
            <c:numRef>
              <c:f>'Pivot Tables'!$C$21:$C$26</c:f>
              <c:numCache>
                <c:formatCode>General</c:formatCode>
                <c:ptCount val="5"/>
                <c:pt idx="0">
                  <c:v>4</c:v>
                </c:pt>
                <c:pt idx="1">
                  <c:v>3</c:v>
                </c:pt>
                <c:pt idx="2">
                  <c:v>2</c:v>
                </c:pt>
                <c:pt idx="3">
                  <c:v>1</c:v>
                </c:pt>
                <c:pt idx="4">
                  <c:v>2</c:v>
                </c:pt>
              </c:numCache>
            </c:numRef>
          </c:val>
          <c:extLst>
            <c:ext xmlns:c16="http://schemas.microsoft.com/office/drawing/2014/chart" uri="{C3380CC4-5D6E-409C-BE32-E72D297353CC}">
              <c16:uniqueId val="{00000000-2FC7-42A4-BBB5-6D2F0AE3FE16}"/>
            </c:ext>
          </c:extLst>
        </c:ser>
        <c:dLbls>
          <c:showLegendKey val="0"/>
          <c:showVal val="0"/>
          <c:showCatName val="0"/>
          <c:showSerName val="0"/>
          <c:showPercent val="0"/>
          <c:showBubbleSize val="0"/>
        </c:dLbls>
        <c:gapWidth val="50"/>
        <c:overlap val="20"/>
        <c:axId val="1009995328"/>
        <c:axId val="1009991488"/>
      </c:barChart>
      <c:catAx>
        <c:axId val="1009995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009991488"/>
        <c:crosses val="autoZero"/>
        <c:auto val="1"/>
        <c:lblAlgn val="ctr"/>
        <c:lblOffset val="100"/>
        <c:noMultiLvlLbl val="0"/>
      </c:catAx>
      <c:valAx>
        <c:axId val="1009991488"/>
        <c:scaling>
          <c:orientation val="minMax"/>
        </c:scaling>
        <c:delete val="1"/>
        <c:axPos val="b"/>
        <c:numFmt formatCode="General" sourceLinked="1"/>
        <c:majorTickMark val="none"/>
        <c:minorTickMark val="none"/>
        <c:tickLblPos val="nextTo"/>
        <c:crossAx val="100999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9.xml"/><Relationship Id="rId3" Type="http://schemas.openxmlformats.org/officeDocument/2006/relationships/chart" Target="../charts/chart3.xml"/><Relationship Id="rId7" Type="http://schemas.microsoft.com/office/2007/relationships/hdphoto" Target="../media/hdphoto1.wdp"/><Relationship Id="rId12" Type="http://schemas.openxmlformats.org/officeDocument/2006/relationships/chart" Target="../charts/chart8.xml"/><Relationship Id="rId17" Type="http://schemas.microsoft.com/office/2007/relationships/hdphoto" Target="../media/hdphoto4.wdp"/><Relationship Id="rId2" Type="http://schemas.openxmlformats.org/officeDocument/2006/relationships/chart" Target="../charts/chart2.xml"/><Relationship Id="rId16" Type="http://schemas.openxmlformats.org/officeDocument/2006/relationships/image" Target="../media/image4.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microsoft.com/office/2007/relationships/hdphoto" Target="../media/hdphoto3.wdp"/><Relationship Id="rId10" Type="http://schemas.openxmlformats.org/officeDocument/2006/relationships/chart" Target="../charts/chart6.xml"/><Relationship Id="rId4" Type="http://schemas.openxmlformats.org/officeDocument/2006/relationships/chart" Target="../charts/chart4.xml"/><Relationship Id="rId9" Type="http://schemas.microsoft.com/office/2007/relationships/hdphoto" Target="../media/hdphoto2.wdp"/><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83821</xdr:colOff>
      <xdr:row>0</xdr:row>
      <xdr:rowOff>99060</xdr:rowOff>
    </xdr:from>
    <xdr:to>
      <xdr:col>17</xdr:col>
      <xdr:colOff>8467</xdr:colOff>
      <xdr:row>33</xdr:row>
      <xdr:rowOff>121920</xdr:rowOff>
    </xdr:to>
    <xdr:sp macro="" textlink="">
      <xdr:nvSpPr>
        <xdr:cNvPr id="2" name="Rectangle: Rounded Corners 1">
          <a:extLst>
            <a:ext uri="{FF2B5EF4-FFF2-40B4-BE49-F238E27FC236}">
              <a16:creationId xmlns:a16="http://schemas.microsoft.com/office/drawing/2014/main" id="{60777B58-383A-A4E9-B3DE-975E87FAF89C}"/>
            </a:ext>
          </a:extLst>
        </xdr:cNvPr>
        <xdr:cNvSpPr/>
      </xdr:nvSpPr>
      <xdr:spPr>
        <a:xfrm>
          <a:off x="83821" y="99060"/>
          <a:ext cx="10287846" cy="6057900"/>
        </a:xfrm>
        <a:prstGeom prst="roundRect">
          <a:avLst>
            <a:gd name="adj" fmla="val 2831"/>
          </a:avLst>
        </a:prstGeom>
        <a:solidFill>
          <a:srgbClr val="1F1F1F"/>
        </a:solidFill>
        <a:ln>
          <a:solidFill>
            <a:srgbClr val="2828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586740</xdr:colOff>
      <xdr:row>19</xdr:row>
      <xdr:rowOff>175260</xdr:rowOff>
    </xdr:from>
    <xdr:to>
      <xdr:col>12</xdr:col>
      <xdr:colOff>231140</xdr:colOff>
      <xdr:row>32</xdr:row>
      <xdr:rowOff>129528</xdr:rowOff>
    </xdr:to>
    <xdr:sp macro="" textlink="">
      <xdr:nvSpPr>
        <xdr:cNvPr id="6" name="Rectangle: Rounded Corners 5">
          <a:extLst>
            <a:ext uri="{FF2B5EF4-FFF2-40B4-BE49-F238E27FC236}">
              <a16:creationId xmlns:a16="http://schemas.microsoft.com/office/drawing/2014/main" id="{7AAED905-60AA-D394-B49A-230475C66AFB}"/>
            </a:ext>
          </a:extLst>
        </xdr:cNvPr>
        <xdr:cNvSpPr/>
      </xdr:nvSpPr>
      <xdr:spPr>
        <a:xfrm>
          <a:off x="4853940" y="3649980"/>
          <a:ext cx="2692400" cy="2331708"/>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30</xdr:row>
      <xdr:rowOff>144780</xdr:rowOff>
    </xdr:from>
    <xdr:to>
      <xdr:col>12</xdr:col>
      <xdr:colOff>211320</xdr:colOff>
      <xdr:row>32</xdr:row>
      <xdr:rowOff>31020</xdr:rowOff>
    </xdr:to>
    <xdr:sp macro="" textlink="">
      <xdr:nvSpPr>
        <xdr:cNvPr id="45" name="Rectangle: Rounded Corners 44">
          <a:extLst>
            <a:ext uri="{FF2B5EF4-FFF2-40B4-BE49-F238E27FC236}">
              <a16:creationId xmlns:a16="http://schemas.microsoft.com/office/drawing/2014/main" id="{3123E9E8-9585-88DA-F711-0748954C1B01}"/>
            </a:ext>
          </a:extLst>
        </xdr:cNvPr>
        <xdr:cNvSpPr/>
      </xdr:nvSpPr>
      <xdr:spPr>
        <a:xfrm>
          <a:off x="6446520" y="5631180"/>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29</xdr:row>
      <xdr:rowOff>60960</xdr:rowOff>
    </xdr:from>
    <xdr:to>
      <xdr:col>12</xdr:col>
      <xdr:colOff>211320</xdr:colOff>
      <xdr:row>30</xdr:row>
      <xdr:rowOff>130080</xdr:rowOff>
    </xdr:to>
    <xdr:sp macro="" textlink="">
      <xdr:nvSpPr>
        <xdr:cNvPr id="46" name="Rectangle: Rounded Corners 45">
          <a:extLst>
            <a:ext uri="{FF2B5EF4-FFF2-40B4-BE49-F238E27FC236}">
              <a16:creationId xmlns:a16="http://schemas.microsoft.com/office/drawing/2014/main" id="{24501CA6-8DD9-8FA1-E0D6-439CC31A68F1}"/>
            </a:ext>
          </a:extLst>
        </xdr:cNvPr>
        <xdr:cNvSpPr/>
      </xdr:nvSpPr>
      <xdr:spPr>
        <a:xfrm>
          <a:off x="6446520" y="5364480"/>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27</xdr:row>
      <xdr:rowOff>160020</xdr:rowOff>
    </xdr:from>
    <xdr:to>
      <xdr:col>12</xdr:col>
      <xdr:colOff>211320</xdr:colOff>
      <xdr:row>29</xdr:row>
      <xdr:rowOff>46260</xdr:rowOff>
    </xdr:to>
    <xdr:sp macro="" textlink="">
      <xdr:nvSpPr>
        <xdr:cNvPr id="47" name="Rectangle: Rounded Corners 46">
          <a:extLst>
            <a:ext uri="{FF2B5EF4-FFF2-40B4-BE49-F238E27FC236}">
              <a16:creationId xmlns:a16="http://schemas.microsoft.com/office/drawing/2014/main" id="{F21C50ED-3E38-834D-35B7-B16139783CB0}"/>
            </a:ext>
          </a:extLst>
        </xdr:cNvPr>
        <xdr:cNvSpPr/>
      </xdr:nvSpPr>
      <xdr:spPr>
        <a:xfrm>
          <a:off x="6446520" y="5097780"/>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26</xdr:row>
      <xdr:rowOff>76200</xdr:rowOff>
    </xdr:from>
    <xdr:to>
      <xdr:col>12</xdr:col>
      <xdr:colOff>211320</xdr:colOff>
      <xdr:row>27</xdr:row>
      <xdr:rowOff>145320</xdr:rowOff>
    </xdr:to>
    <xdr:sp macro="" textlink="">
      <xdr:nvSpPr>
        <xdr:cNvPr id="48" name="Rectangle: Rounded Corners 47">
          <a:extLst>
            <a:ext uri="{FF2B5EF4-FFF2-40B4-BE49-F238E27FC236}">
              <a16:creationId xmlns:a16="http://schemas.microsoft.com/office/drawing/2014/main" id="{7AB1AFA9-4FC6-4856-8EB9-E76D8886BCE1}"/>
            </a:ext>
          </a:extLst>
        </xdr:cNvPr>
        <xdr:cNvSpPr/>
      </xdr:nvSpPr>
      <xdr:spPr>
        <a:xfrm>
          <a:off x="6446520" y="4831080"/>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24</xdr:row>
      <xdr:rowOff>175260</xdr:rowOff>
    </xdr:from>
    <xdr:to>
      <xdr:col>12</xdr:col>
      <xdr:colOff>211320</xdr:colOff>
      <xdr:row>26</xdr:row>
      <xdr:rowOff>61500</xdr:rowOff>
    </xdr:to>
    <xdr:sp macro="" textlink="">
      <xdr:nvSpPr>
        <xdr:cNvPr id="49" name="Rectangle: Rounded Corners 48">
          <a:extLst>
            <a:ext uri="{FF2B5EF4-FFF2-40B4-BE49-F238E27FC236}">
              <a16:creationId xmlns:a16="http://schemas.microsoft.com/office/drawing/2014/main" id="{472C88C0-2704-C162-76D5-C99D6D23FC9B}"/>
            </a:ext>
          </a:extLst>
        </xdr:cNvPr>
        <xdr:cNvSpPr/>
      </xdr:nvSpPr>
      <xdr:spPr>
        <a:xfrm>
          <a:off x="6446520" y="4564380"/>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23</xdr:row>
      <xdr:rowOff>91440</xdr:rowOff>
    </xdr:from>
    <xdr:to>
      <xdr:col>12</xdr:col>
      <xdr:colOff>211320</xdr:colOff>
      <xdr:row>24</xdr:row>
      <xdr:rowOff>160560</xdr:rowOff>
    </xdr:to>
    <xdr:sp macro="" textlink="">
      <xdr:nvSpPr>
        <xdr:cNvPr id="50" name="Rectangle: Rounded Corners 49">
          <a:extLst>
            <a:ext uri="{FF2B5EF4-FFF2-40B4-BE49-F238E27FC236}">
              <a16:creationId xmlns:a16="http://schemas.microsoft.com/office/drawing/2014/main" id="{408EE9F9-777C-5593-ACAC-7A868EF9607D}"/>
            </a:ext>
          </a:extLst>
        </xdr:cNvPr>
        <xdr:cNvSpPr/>
      </xdr:nvSpPr>
      <xdr:spPr>
        <a:xfrm>
          <a:off x="6446520" y="4297680"/>
          <a:ext cx="1080000" cy="252000"/>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178647</xdr:colOff>
      <xdr:row>23</xdr:row>
      <xdr:rowOff>36408</xdr:rowOff>
    </xdr:from>
    <xdr:to>
      <xdr:col>3</xdr:col>
      <xdr:colOff>257847</xdr:colOff>
      <xdr:row>32</xdr:row>
      <xdr:rowOff>160008</xdr:rowOff>
    </xdr:to>
    <xdr:sp macro="" textlink="">
      <xdr:nvSpPr>
        <xdr:cNvPr id="3" name="Rectangle: Rounded Corners 2">
          <a:extLst>
            <a:ext uri="{FF2B5EF4-FFF2-40B4-BE49-F238E27FC236}">
              <a16:creationId xmlns:a16="http://schemas.microsoft.com/office/drawing/2014/main" id="{BB78893D-84C9-8569-889D-64D50D50A91A}"/>
            </a:ext>
          </a:extLst>
        </xdr:cNvPr>
        <xdr:cNvSpPr/>
      </xdr:nvSpPr>
      <xdr:spPr>
        <a:xfrm>
          <a:off x="178647" y="4242648"/>
          <a:ext cx="1908000" cy="176952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178647</xdr:colOff>
      <xdr:row>6</xdr:row>
      <xdr:rowOff>25400</xdr:rowOff>
    </xdr:from>
    <xdr:to>
      <xdr:col>3</xdr:col>
      <xdr:colOff>257847</xdr:colOff>
      <xdr:row>22</xdr:row>
      <xdr:rowOff>33133</xdr:rowOff>
    </xdr:to>
    <xdr:sp macro="" textlink="">
      <xdr:nvSpPr>
        <xdr:cNvPr id="4" name="Rectangle: Rounded Corners 3">
          <a:extLst>
            <a:ext uri="{FF2B5EF4-FFF2-40B4-BE49-F238E27FC236}">
              <a16:creationId xmlns:a16="http://schemas.microsoft.com/office/drawing/2014/main" id="{81E1EDB0-0AE3-F25E-EFC7-D302AA7984EB}"/>
            </a:ext>
          </a:extLst>
        </xdr:cNvPr>
        <xdr:cNvSpPr/>
      </xdr:nvSpPr>
      <xdr:spPr>
        <a:xfrm>
          <a:off x="178647" y="1122680"/>
          <a:ext cx="1908000" cy="2933813"/>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458045</xdr:colOff>
      <xdr:row>20</xdr:row>
      <xdr:rowOff>32348</xdr:rowOff>
    </xdr:from>
    <xdr:to>
      <xdr:col>7</xdr:col>
      <xdr:colOff>474132</xdr:colOff>
      <xdr:row>32</xdr:row>
      <xdr:rowOff>137148</xdr:rowOff>
    </xdr:to>
    <xdr:sp macro="" textlink="">
      <xdr:nvSpPr>
        <xdr:cNvPr id="5" name="Rectangle: Rounded Corners 4">
          <a:extLst>
            <a:ext uri="{FF2B5EF4-FFF2-40B4-BE49-F238E27FC236}">
              <a16:creationId xmlns:a16="http://schemas.microsoft.com/office/drawing/2014/main" id="{8E700B58-EF4F-FD3F-470A-D85F0AE3AA0E}"/>
            </a:ext>
          </a:extLst>
        </xdr:cNvPr>
        <xdr:cNvSpPr/>
      </xdr:nvSpPr>
      <xdr:spPr>
        <a:xfrm>
          <a:off x="2286845" y="3757681"/>
          <a:ext cx="2454487" cy="234000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466510</xdr:colOff>
      <xdr:row>6</xdr:row>
      <xdr:rowOff>25400</xdr:rowOff>
    </xdr:from>
    <xdr:to>
      <xdr:col>7</xdr:col>
      <xdr:colOff>465665</xdr:colOff>
      <xdr:row>12</xdr:row>
      <xdr:rowOff>130386</xdr:rowOff>
    </xdr:to>
    <xdr:sp macro="" textlink="">
      <xdr:nvSpPr>
        <xdr:cNvPr id="7" name="Rectangle: Rounded Corners 6">
          <a:extLst>
            <a:ext uri="{FF2B5EF4-FFF2-40B4-BE49-F238E27FC236}">
              <a16:creationId xmlns:a16="http://schemas.microsoft.com/office/drawing/2014/main" id="{0A10C291-2B25-CDA3-BCFB-6C7BB96DD394}"/>
            </a:ext>
          </a:extLst>
        </xdr:cNvPr>
        <xdr:cNvSpPr/>
      </xdr:nvSpPr>
      <xdr:spPr>
        <a:xfrm>
          <a:off x="2295310" y="1101165"/>
          <a:ext cx="2437555" cy="118075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6</xdr:row>
      <xdr:rowOff>25400</xdr:rowOff>
    </xdr:from>
    <xdr:to>
      <xdr:col>12</xdr:col>
      <xdr:colOff>202355</xdr:colOff>
      <xdr:row>19</xdr:row>
      <xdr:rowOff>50801</xdr:rowOff>
    </xdr:to>
    <xdr:sp macro="" textlink="">
      <xdr:nvSpPr>
        <xdr:cNvPr id="8" name="Rectangle: Rounded Corners 7">
          <a:extLst>
            <a:ext uri="{FF2B5EF4-FFF2-40B4-BE49-F238E27FC236}">
              <a16:creationId xmlns:a16="http://schemas.microsoft.com/office/drawing/2014/main" id="{1190722C-A9EC-8A62-2A71-01A32330B215}"/>
            </a:ext>
          </a:extLst>
        </xdr:cNvPr>
        <xdr:cNvSpPr/>
      </xdr:nvSpPr>
      <xdr:spPr>
        <a:xfrm>
          <a:off x="4876800" y="1143000"/>
          <a:ext cx="2640755" cy="2446868"/>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441110</xdr:colOff>
      <xdr:row>13</xdr:row>
      <xdr:rowOff>50801</xdr:rowOff>
    </xdr:from>
    <xdr:to>
      <xdr:col>5</xdr:col>
      <xdr:colOff>391910</xdr:colOff>
      <xdr:row>19</xdr:row>
      <xdr:rowOff>50801</xdr:rowOff>
    </xdr:to>
    <xdr:sp macro="" textlink="">
      <xdr:nvSpPr>
        <xdr:cNvPr id="9" name="Rectangle: Rounded Corners 8">
          <a:extLst>
            <a:ext uri="{FF2B5EF4-FFF2-40B4-BE49-F238E27FC236}">
              <a16:creationId xmlns:a16="http://schemas.microsoft.com/office/drawing/2014/main" id="{CC73177F-54EE-EA35-4C02-B146CF90DFB9}"/>
            </a:ext>
          </a:extLst>
        </xdr:cNvPr>
        <xdr:cNvSpPr/>
      </xdr:nvSpPr>
      <xdr:spPr>
        <a:xfrm>
          <a:off x="2269910" y="2472268"/>
          <a:ext cx="1170000" cy="111760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508843</xdr:colOff>
      <xdr:row>13</xdr:row>
      <xdr:rowOff>50801</xdr:rowOff>
    </xdr:from>
    <xdr:to>
      <xdr:col>7</xdr:col>
      <xdr:colOff>459643</xdr:colOff>
      <xdr:row>19</xdr:row>
      <xdr:rowOff>50801</xdr:rowOff>
    </xdr:to>
    <xdr:sp macro="" textlink="">
      <xdr:nvSpPr>
        <xdr:cNvPr id="10" name="Rectangle: Rounded Corners 9">
          <a:extLst>
            <a:ext uri="{FF2B5EF4-FFF2-40B4-BE49-F238E27FC236}">
              <a16:creationId xmlns:a16="http://schemas.microsoft.com/office/drawing/2014/main" id="{21833344-87C1-685F-68D7-4002B8DDC55A}"/>
            </a:ext>
          </a:extLst>
        </xdr:cNvPr>
        <xdr:cNvSpPr/>
      </xdr:nvSpPr>
      <xdr:spPr>
        <a:xfrm>
          <a:off x="3556843" y="2472268"/>
          <a:ext cx="1170000" cy="111760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381842</xdr:colOff>
      <xdr:row>20</xdr:row>
      <xdr:rowOff>8902</xdr:rowOff>
    </xdr:from>
    <xdr:to>
      <xdr:col>16</xdr:col>
      <xdr:colOff>448730</xdr:colOff>
      <xdr:row>32</xdr:row>
      <xdr:rowOff>137149</xdr:rowOff>
    </xdr:to>
    <xdr:grpSp>
      <xdr:nvGrpSpPr>
        <xdr:cNvPr id="18" name="Group 17">
          <a:extLst>
            <a:ext uri="{FF2B5EF4-FFF2-40B4-BE49-F238E27FC236}">
              <a16:creationId xmlns:a16="http://schemas.microsoft.com/office/drawing/2014/main" id="{BAB06FD0-F8AB-95A0-301C-D1E0BA131877}"/>
            </a:ext>
          </a:extLst>
        </xdr:cNvPr>
        <xdr:cNvGrpSpPr/>
      </xdr:nvGrpSpPr>
      <xdr:grpSpPr>
        <a:xfrm>
          <a:off x="7697042" y="3594784"/>
          <a:ext cx="2505288" cy="2279777"/>
          <a:chOff x="7697042" y="3734235"/>
          <a:chExt cx="2505288" cy="2363447"/>
        </a:xfrm>
      </xdr:grpSpPr>
      <xdr:sp macro="" textlink="">
        <xdr:nvSpPr>
          <xdr:cNvPr id="13" name="Rectangle: Rounded Corners 12">
            <a:extLst>
              <a:ext uri="{FF2B5EF4-FFF2-40B4-BE49-F238E27FC236}">
                <a16:creationId xmlns:a16="http://schemas.microsoft.com/office/drawing/2014/main" id="{20DF726F-33F2-2CFE-103C-F2BAFDB89A57}"/>
              </a:ext>
            </a:extLst>
          </xdr:cNvPr>
          <xdr:cNvSpPr/>
        </xdr:nvSpPr>
        <xdr:spPr>
          <a:xfrm>
            <a:off x="7697042" y="4953971"/>
            <a:ext cx="1197994" cy="113568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3818FC23-8D4A-E76B-CCC1-9D8A7094EFBA}"/>
              </a:ext>
            </a:extLst>
          </xdr:cNvPr>
          <xdr:cNvSpPr/>
        </xdr:nvSpPr>
        <xdr:spPr>
          <a:xfrm>
            <a:off x="9004336" y="4962002"/>
            <a:ext cx="1197994" cy="113568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36B518C8-53CD-B6B1-B40C-A3AEEA1B2B2D}"/>
              </a:ext>
            </a:extLst>
          </xdr:cNvPr>
          <xdr:cNvSpPr/>
        </xdr:nvSpPr>
        <xdr:spPr>
          <a:xfrm>
            <a:off x="9004336" y="3734235"/>
            <a:ext cx="1197994" cy="1135680"/>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12</xdr:col>
      <xdr:colOff>329352</xdr:colOff>
      <xdr:row>9</xdr:row>
      <xdr:rowOff>124050</xdr:rowOff>
    </xdr:from>
    <xdr:to>
      <xdr:col>16</xdr:col>
      <xdr:colOff>456350</xdr:colOff>
      <xdr:row>18</xdr:row>
      <xdr:rowOff>76199</xdr:rowOff>
    </xdr:to>
    <xdr:sp macro="" textlink="">
      <xdr:nvSpPr>
        <xdr:cNvPr id="17" name="Rectangle: Rounded Corners 16">
          <a:extLst>
            <a:ext uri="{FF2B5EF4-FFF2-40B4-BE49-F238E27FC236}">
              <a16:creationId xmlns:a16="http://schemas.microsoft.com/office/drawing/2014/main" id="{C5249398-67DD-D9D0-9978-7CD4FBE0F620}"/>
            </a:ext>
          </a:extLst>
        </xdr:cNvPr>
        <xdr:cNvSpPr/>
      </xdr:nvSpPr>
      <xdr:spPr>
        <a:xfrm>
          <a:off x="7644552" y="1769970"/>
          <a:ext cx="2565398" cy="1598069"/>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329352</xdr:colOff>
      <xdr:row>1</xdr:row>
      <xdr:rowOff>25837</xdr:rowOff>
    </xdr:from>
    <xdr:to>
      <xdr:col>16</xdr:col>
      <xdr:colOff>456350</xdr:colOff>
      <xdr:row>9</xdr:row>
      <xdr:rowOff>22861</xdr:rowOff>
    </xdr:to>
    <xdr:sp macro="" textlink="">
      <xdr:nvSpPr>
        <xdr:cNvPr id="19" name="Rectangle: Rounded Corners 18">
          <a:extLst>
            <a:ext uri="{FF2B5EF4-FFF2-40B4-BE49-F238E27FC236}">
              <a16:creationId xmlns:a16="http://schemas.microsoft.com/office/drawing/2014/main" id="{FCD60F34-7CF8-89B2-7429-0BB514C59D2A}"/>
            </a:ext>
          </a:extLst>
        </xdr:cNvPr>
        <xdr:cNvSpPr/>
      </xdr:nvSpPr>
      <xdr:spPr>
        <a:xfrm>
          <a:off x="7644552" y="208717"/>
          <a:ext cx="2565398" cy="1460064"/>
        </a:xfrm>
        <a:prstGeom prst="roundRect">
          <a:avLst>
            <a:gd name="adj" fmla="val 678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449580</xdr:colOff>
      <xdr:row>19</xdr:row>
      <xdr:rowOff>160020</xdr:rowOff>
    </xdr:from>
    <xdr:ext cx="1000851" cy="749821"/>
    <xdr:sp macro="" textlink="">
      <xdr:nvSpPr>
        <xdr:cNvPr id="20" name="TextBox 19">
          <a:extLst>
            <a:ext uri="{FF2B5EF4-FFF2-40B4-BE49-F238E27FC236}">
              <a16:creationId xmlns:a16="http://schemas.microsoft.com/office/drawing/2014/main" id="{5912FEBE-E0A8-A47A-B3E5-163545AB0C77}"/>
            </a:ext>
          </a:extLst>
        </xdr:cNvPr>
        <xdr:cNvSpPr txBox="1"/>
      </xdr:nvSpPr>
      <xdr:spPr>
        <a:xfrm>
          <a:off x="8983980" y="3634740"/>
          <a:ext cx="1000851"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Part</a:t>
          </a:r>
        </a:p>
        <a:p>
          <a:r>
            <a:rPr lang="en-IN" sz="1400" b="1">
              <a:solidFill>
                <a:schemeClr val="bg1"/>
              </a:solidFill>
            </a:rPr>
            <a:t>time</a:t>
          </a:r>
          <a:r>
            <a:rPr lang="en-IN" sz="1400" b="1" baseline="0">
              <a:solidFill>
                <a:schemeClr val="bg1"/>
              </a:solidFill>
            </a:rPr>
            <a:t> </a:t>
          </a:r>
        </a:p>
        <a:p>
          <a:r>
            <a:rPr lang="en-IN" sz="1400" b="1" baseline="0">
              <a:solidFill>
                <a:schemeClr val="bg1"/>
              </a:solidFill>
            </a:rPr>
            <a:t>employees</a:t>
          </a:r>
          <a:endParaRPr lang="en-IN" sz="1400" b="1">
            <a:solidFill>
              <a:schemeClr val="bg1"/>
            </a:solidFill>
          </a:endParaRPr>
        </a:p>
      </xdr:txBody>
    </xdr:sp>
    <xdr:clientData/>
  </xdr:oneCellAnchor>
  <xdr:oneCellAnchor>
    <xdr:from>
      <xdr:col>15</xdr:col>
      <xdr:colOff>434340</xdr:colOff>
      <xdr:row>23</xdr:row>
      <xdr:rowOff>15240</xdr:rowOff>
    </xdr:from>
    <xdr:ext cx="418641" cy="655949"/>
    <xdr:sp macro="" textlink="'Pivot Tables'!C12">
      <xdr:nvSpPr>
        <xdr:cNvPr id="23" name="TextBox 22">
          <a:extLst>
            <a:ext uri="{FF2B5EF4-FFF2-40B4-BE49-F238E27FC236}">
              <a16:creationId xmlns:a16="http://schemas.microsoft.com/office/drawing/2014/main" id="{38E469E3-6CC8-83C9-574A-21EBABED9961}"/>
            </a:ext>
          </a:extLst>
        </xdr:cNvPr>
        <xdr:cNvSpPr txBox="1"/>
      </xdr:nvSpPr>
      <xdr:spPr>
        <a:xfrm>
          <a:off x="9578340" y="4139005"/>
          <a:ext cx="41864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7A96A58-B4F4-45DB-876C-ACC98436D603}" type="TxLink">
            <a:rPr lang="en-US" sz="3600" b="1" i="0" u="none" strike="noStrike">
              <a:solidFill>
                <a:schemeClr val="bg1"/>
              </a:solidFill>
              <a:latin typeface="Aptos Narrow"/>
            </a:rPr>
            <a:t>2</a:t>
          </a:fld>
          <a:endParaRPr lang="en-IN" sz="3600" b="1">
            <a:solidFill>
              <a:schemeClr val="bg1"/>
            </a:solidFill>
          </a:endParaRPr>
        </a:p>
      </xdr:txBody>
    </xdr:sp>
    <xdr:clientData/>
  </xdr:oneCellAnchor>
  <xdr:oneCellAnchor>
    <xdr:from>
      <xdr:col>14</xdr:col>
      <xdr:colOff>457200</xdr:colOff>
      <xdr:row>26</xdr:row>
      <xdr:rowOff>121920</xdr:rowOff>
    </xdr:from>
    <xdr:ext cx="1000851" cy="749821"/>
    <xdr:sp macro="" textlink="">
      <xdr:nvSpPr>
        <xdr:cNvPr id="24" name="TextBox 23">
          <a:extLst>
            <a:ext uri="{FF2B5EF4-FFF2-40B4-BE49-F238E27FC236}">
              <a16:creationId xmlns:a16="http://schemas.microsoft.com/office/drawing/2014/main" id="{4C9D00CD-81DB-7B8B-0338-CE306310F017}"/>
            </a:ext>
          </a:extLst>
        </xdr:cNvPr>
        <xdr:cNvSpPr txBox="1"/>
      </xdr:nvSpPr>
      <xdr:spPr>
        <a:xfrm>
          <a:off x="8991600" y="4876800"/>
          <a:ext cx="1000851"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Full</a:t>
          </a:r>
        </a:p>
        <a:p>
          <a:r>
            <a:rPr lang="en-IN" sz="1400" b="1">
              <a:solidFill>
                <a:schemeClr val="bg1"/>
              </a:solidFill>
            </a:rPr>
            <a:t>time</a:t>
          </a:r>
          <a:r>
            <a:rPr lang="en-IN" sz="1400" b="1" baseline="0">
              <a:solidFill>
                <a:schemeClr val="bg1"/>
              </a:solidFill>
            </a:rPr>
            <a:t> </a:t>
          </a:r>
        </a:p>
        <a:p>
          <a:r>
            <a:rPr lang="en-IN" sz="1400" b="1" baseline="0">
              <a:solidFill>
                <a:schemeClr val="bg1"/>
              </a:solidFill>
            </a:rPr>
            <a:t>employees</a:t>
          </a:r>
          <a:endParaRPr lang="en-IN" sz="1400" b="1">
            <a:solidFill>
              <a:schemeClr val="bg1"/>
            </a:solidFill>
          </a:endParaRPr>
        </a:p>
      </xdr:txBody>
    </xdr:sp>
    <xdr:clientData/>
  </xdr:oneCellAnchor>
  <xdr:oneCellAnchor>
    <xdr:from>
      <xdr:col>15</xdr:col>
      <xdr:colOff>472440</xdr:colOff>
      <xdr:row>29</xdr:row>
      <xdr:rowOff>144780</xdr:rowOff>
    </xdr:from>
    <xdr:ext cx="418641" cy="655949"/>
    <xdr:sp macro="" textlink="'Pivot Tables'!C11">
      <xdr:nvSpPr>
        <xdr:cNvPr id="26" name="TextBox 25">
          <a:extLst>
            <a:ext uri="{FF2B5EF4-FFF2-40B4-BE49-F238E27FC236}">
              <a16:creationId xmlns:a16="http://schemas.microsoft.com/office/drawing/2014/main" id="{2142D499-0E8D-6729-7F94-D73A7B57895D}"/>
            </a:ext>
          </a:extLst>
        </xdr:cNvPr>
        <xdr:cNvSpPr txBox="1"/>
      </xdr:nvSpPr>
      <xdr:spPr>
        <a:xfrm>
          <a:off x="9616440" y="5344309"/>
          <a:ext cx="41864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A611B74-882D-41A2-980D-D9737A203B94}" type="TxLink">
            <a:rPr lang="en-US" sz="3600" b="1" i="0" u="none" strike="noStrike">
              <a:solidFill>
                <a:schemeClr val="bg1"/>
              </a:solidFill>
              <a:latin typeface="Aptos Narrow"/>
            </a:rPr>
            <a:t>5</a:t>
          </a:fld>
          <a:endParaRPr lang="en-IN" sz="4400" b="1">
            <a:solidFill>
              <a:schemeClr val="bg1"/>
            </a:solidFill>
          </a:endParaRPr>
        </a:p>
      </xdr:txBody>
    </xdr:sp>
    <xdr:clientData/>
  </xdr:oneCellAnchor>
  <xdr:oneCellAnchor>
    <xdr:from>
      <xdr:col>12</xdr:col>
      <xdr:colOff>336122</xdr:colOff>
      <xdr:row>26</xdr:row>
      <xdr:rowOff>92722</xdr:rowOff>
    </xdr:from>
    <xdr:ext cx="885692" cy="655949"/>
    <xdr:sp macro="" textlink="">
      <xdr:nvSpPr>
        <xdr:cNvPr id="27" name="TextBox 26">
          <a:extLst>
            <a:ext uri="{FF2B5EF4-FFF2-40B4-BE49-F238E27FC236}">
              <a16:creationId xmlns:a16="http://schemas.microsoft.com/office/drawing/2014/main" id="{7A04A535-5306-4EDC-A3A1-7B1F56B34668}"/>
            </a:ext>
          </a:extLst>
        </xdr:cNvPr>
        <xdr:cNvSpPr txBox="1"/>
      </xdr:nvSpPr>
      <xdr:spPr>
        <a:xfrm>
          <a:off x="7651322" y="4847602"/>
          <a:ext cx="885692"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Employees</a:t>
          </a:r>
        </a:p>
        <a:p>
          <a:r>
            <a:rPr lang="en-IN" sz="1200" b="1">
              <a:solidFill>
                <a:schemeClr val="bg1"/>
              </a:solidFill>
            </a:rPr>
            <a:t>with</a:t>
          </a:r>
        </a:p>
        <a:p>
          <a:r>
            <a:rPr lang="en-IN" sz="1200" b="1">
              <a:solidFill>
                <a:schemeClr val="bg1"/>
              </a:solidFill>
            </a:rPr>
            <a:t>Contract</a:t>
          </a:r>
        </a:p>
      </xdr:txBody>
    </xdr:sp>
    <xdr:clientData/>
  </xdr:oneCellAnchor>
  <xdr:oneCellAnchor>
    <xdr:from>
      <xdr:col>13</xdr:col>
      <xdr:colOff>335280</xdr:colOff>
      <xdr:row>29</xdr:row>
      <xdr:rowOff>92722</xdr:rowOff>
    </xdr:from>
    <xdr:ext cx="418641" cy="655949"/>
    <xdr:sp macro="" textlink="'Pivot Tables'!C10">
      <xdr:nvSpPr>
        <xdr:cNvPr id="28" name="TextBox 27">
          <a:extLst>
            <a:ext uri="{FF2B5EF4-FFF2-40B4-BE49-F238E27FC236}">
              <a16:creationId xmlns:a16="http://schemas.microsoft.com/office/drawing/2014/main" id="{4E03CA34-CDFF-4190-9B73-4BFF70457493}"/>
            </a:ext>
          </a:extLst>
        </xdr:cNvPr>
        <xdr:cNvSpPr txBox="1"/>
      </xdr:nvSpPr>
      <xdr:spPr>
        <a:xfrm>
          <a:off x="8260080" y="5292251"/>
          <a:ext cx="41864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3984AAB-9FF6-4889-B6CC-48AAA7F8A2E8}" type="TxLink">
            <a:rPr lang="en-US" sz="3600" b="1" i="0" u="none" strike="noStrike">
              <a:solidFill>
                <a:schemeClr val="bg1"/>
              </a:solidFill>
              <a:latin typeface="Aptos Narrow"/>
              <a:ea typeface="+mn-ea"/>
              <a:cs typeface="+mn-cs"/>
            </a:rPr>
            <a:pPr marL="0" indent="0"/>
            <a:t>5</a:t>
          </a:fld>
          <a:endParaRPr lang="en-IN" sz="3600" b="1" i="0" u="none" strike="noStrike">
            <a:solidFill>
              <a:schemeClr val="bg1"/>
            </a:solidFill>
            <a:latin typeface="Aptos Narrow"/>
            <a:ea typeface="+mn-ea"/>
            <a:cs typeface="+mn-cs"/>
          </a:endParaRPr>
        </a:p>
      </xdr:txBody>
    </xdr:sp>
    <xdr:clientData/>
  </xdr:oneCellAnchor>
  <xdr:oneCellAnchor>
    <xdr:from>
      <xdr:col>8</xdr:col>
      <xdr:colOff>38100</xdr:colOff>
      <xdr:row>23</xdr:row>
      <xdr:rowOff>68580</xdr:rowOff>
    </xdr:from>
    <xdr:ext cx="1333442" cy="342851"/>
    <xdr:sp macro="" textlink="">
      <xdr:nvSpPr>
        <xdr:cNvPr id="29" name="TextBox 28">
          <a:extLst>
            <a:ext uri="{FF2B5EF4-FFF2-40B4-BE49-F238E27FC236}">
              <a16:creationId xmlns:a16="http://schemas.microsoft.com/office/drawing/2014/main" id="{440880EA-4818-EBC8-E803-762930A1E95E}"/>
            </a:ext>
          </a:extLst>
        </xdr:cNvPr>
        <xdr:cNvSpPr txBox="1"/>
      </xdr:nvSpPr>
      <xdr:spPr>
        <a:xfrm>
          <a:off x="4914900" y="4274820"/>
          <a:ext cx="133344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Total</a:t>
          </a:r>
          <a:r>
            <a:rPr lang="en-IN" sz="1600" b="1" baseline="0">
              <a:solidFill>
                <a:schemeClr val="bg1"/>
              </a:solidFill>
            </a:rPr>
            <a:t> Salaries</a:t>
          </a:r>
        </a:p>
      </xdr:txBody>
    </xdr:sp>
    <xdr:clientData/>
  </xdr:oneCellAnchor>
  <xdr:oneCellAnchor>
    <xdr:from>
      <xdr:col>8</xdr:col>
      <xdr:colOff>38100</xdr:colOff>
      <xdr:row>24</xdr:row>
      <xdr:rowOff>147828</xdr:rowOff>
    </xdr:from>
    <xdr:ext cx="823880" cy="311496"/>
    <xdr:sp macro="" textlink="">
      <xdr:nvSpPr>
        <xdr:cNvPr id="32" name="TextBox 31">
          <a:extLst>
            <a:ext uri="{FF2B5EF4-FFF2-40B4-BE49-F238E27FC236}">
              <a16:creationId xmlns:a16="http://schemas.microsoft.com/office/drawing/2014/main" id="{AA7B6832-441B-821E-35B8-A6D8B5C72AF8}"/>
            </a:ext>
          </a:extLst>
        </xdr:cNvPr>
        <xdr:cNvSpPr txBox="1"/>
      </xdr:nvSpPr>
      <xdr:spPr>
        <a:xfrm>
          <a:off x="4914900" y="4536948"/>
          <a:ext cx="8238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baseline="0">
              <a:solidFill>
                <a:schemeClr val="bg1"/>
              </a:solidFill>
            </a:rPr>
            <a:t>Manager</a:t>
          </a:r>
        </a:p>
      </xdr:txBody>
    </xdr:sp>
    <xdr:clientData/>
  </xdr:oneCellAnchor>
  <xdr:oneCellAnchor>
    <xdr:from>
      <xdr:col>8</xdr:col>
      <xdr:colOff>38100</xdr:colOff>
      <xdr:row>26</xdr:row>
      <xdr:rowOff>44196</xdr:rowOff>
    </xdr:from>
    <xdr:ext cx="1176541" cy="311496"/>
    <xdr:sp macro="" textlink="">
      <xdr:nvSpPr>
        <xdr:cNvPr id="33" name="TextBox 32">
          <a:extLst>
            <a:ext uri="{FF2B5EF4-FFF2-40B4-BE49-F238E27FC236}">
              <a16:creationId xmlns:a16="http://schemas.microsoft.com/office/drawing/2014/main" id="{E10A5304-1546-895E-B5E6-7E6EFB6643D1}"/>
            </a:ext>
          </a:extLst>
        </xdr:cNvPr>
        <xdr:cNvSpPr txBox="1"/>
      </xdr:nvSpPr>
      <xdr:spPr>
        <a:xfrm>
          <a:off x="4914900" y="4799076"/>
          <a:ext cx="117654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baseline="0">
              <a:solidFill>
                <a:schemeClr val="bg1"/>
              </a:solidFill>
            </a:rPr>
            <a:t>HR Specialist</a:t>
          </a:r>
        </a:p>
      </xdr:txBody>
    </xdr:sp>
    <xdr:clientData/>
  </xdr:oneCellAnchor>
  <xdr:oneCellAnchor>
    <xdr:from>
      <xdr:col>8</xdr:col>
      <xdr:colOff>38100</xdr:colOff>
      <xdr:row>27</xdr:row>
      <xdr:rowOff>123444</xdr:rowOff>
    </xdr:from>
    <xdr:ext cx="947632" cy="311496"/>
    <xdr:sp macro="" textlink="">
      <xdr:nvSpPr>
        <xdr:cNvPr id="34" name="TextBox 33">
          <a:extLst>
            <a:ext uri="{FF2B5EF4-FFF2-40B4-BE49-F238E27FC236}">
              <a16:creationId xmlns:a16="http://schemas.microsoft.com/office/drawing/2014/main" id="{85DDDE28-050C-61BE-CF63-501E1322D2C2}"/>
            </a:ext>
          </a:extLst>
        </xdr:cNvPr>
        <xdr:cNvSpPr txBox="1"/>
      </xdr:nvSpPr>
      <xdr:spPr>
        <a:xfrm>
          <a:off x="4914900" y="5061204"/>
          <a:ext cx="94763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solidFill>
                <a:schemeClr val="bg1"/>
              </a:solidFill>
            </a:rPr>
            <a:t>Developer</a:t>
          </a:r>
          <a:endParaRPr lang="en-IN" sz="1400" b="0" baseline="0">
            <a:solidFill>
              <a:schemeClr val="bg1"/>
            </a:solidFill>
          </a:endParaRPr>
        </a:p>
      </xdr:txBody>
    </xdr:sp>
    <xdr:clientData/>
  </xdr:oneCellAnchor>
  <xdr:oneCellAnchor>
    <xdr:from>
      <xdr:col>8</xdr:col>
      <xdr:colOff>38100</xdr:colOff>
      <xdr:row>29</xdr:row>
      <xdr:rowOff>19812</xdr:rowOff>
    </xdr:from>
    <xdr:ext cx="844975" cy="311496"/>
    <xdr:sp macro="" textlink="">
      <xdr:nvSpPr>
        <xdr:cNvPr id="35" name="TextBox 34">
          <a:extLst>
            <a:ext uri="{FF2B5EF4-FFF2-40B4-BE49-F238E27FC236}">
              <a16:creationId xmlns:a16="http://schemas.microsoft.com/office/drawing/2014/main" id="{7726D493-0729-622F-3779-D82ACC0EC83A}"/>
            </a:ext>
          </a:extLst>
        </xdr:cNvPr>
        <xdr:cNvSpPr txBox="1"/>
      </xdr:nvSpPr>
      <xdr:spPr>
        <a:xfrm>
          <a:off x="4914900" y="5323332"/>
          <a:ext cx="8449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baseline="0">
              <a:solidFill>
                <a:schemeClr val="bg1"/>
              </a:solidFill>
            </a:rPr>
            <a:t>Designer</a:t>
          </a:r>
        </a:p>
      </xdr:txBody>
    </xdr:sp>
    <xdr:clientData/>
  </xdr:oneCellAnchor>
  <xdr:oneCellAnchor>
    <xdr:from>
      <xdr:col>8</xdr:col>
      <xdr:colOff>38100</xdr:colOff>
      <xdr:row>30</xdr:row>
      <xdr:rowOff>99060</xdr:rowOff>
    </xdr:from>
    <xdr:ext cx="818879" cy="311496"/>
    <xdr:sp macro="" textlink="">
      <xdr:nvSpPr>
        <xdr:cNvPr id="37" name="TextBox 36">
          <a:extLst>
            <a:ext uri="{FF2B5EF4-FFF2-40B4-BE49-F238E27FC236}">
              <a16:creationId xmlns:a16="http://schemas.microsoft.com/office/drawing/2014/main" id="{06C991D0-A999-C24B-821D-9EC97A1C27A5}"/>
            </a:ext>
          </a:extLst>
        </xdr:cNvPr>
        <xdr:cNvSpPr txBox="1"/>
      </xdr:nvSpPr>
      <xdr:spPr>
        <a:xfrm>
          <a:off x="4914900" y="5585460"/>
          <a:ext cx="81887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baseline="0">
              <a:solidFill>
                <a:schemeClr val="bg1"/>
              </a:solidFill>
            </a:rPr>
            <a:t>Analysts</a:t>
          </a:r>
        </a:p>
      </xdr:txBody>
    </xdr:sp>
    <xdr:clientData/>
  </xdr:oneCellAnchor>
  <xdr:oneCellAnchor>
    <xdr:from>
      <xdr:col>10</xdr:col>
      <xdr:colOff>50778</xdr:colOff>
      <xdr:row>23</xdr:row>
      <xdr:rowOff>73972</xdr:rowOff>
    </xdr:from>
    <xdr:ext cx="1389402" cy="311496"/>
    <xdr:sp macro="" textlink="'Pivot Tables'!G16">
      <xdr:nvSpPr>
        <xdr:cNvPr id="39" name="TextBox 38">
          <a:extLst>
            <a:ext uri="{FF2B5EF4-FFF2-40B4-BE49-F238E27FC236}">
              <a16:creationId xmlns:a16="http://schemas.microsoft.com/office/drawing/2014/main" id="{40B6DED2-2AD3-3922-7C7B-1734FEEE13AF}"/>
            </a:ext>
          </a:extLst>
        </xdr:cNvPr>
        <xdr:cNvSpPr txBox="1"/>
      </xdr:nvSpPr>
      <xdr:spPr>
        <a:xfrm>
          <a:off x="6146778" y="4280212"/>
          <a:ext cx="138940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33E837C8-B43C-42CF-A72E-72F2552F5E4C}" type="TxLink">
            <a:rPr lang="en-US" sz="1400" b="0" i="0" u="none" strike="noStrike" baseline="0">
              <a:solidFill>
                <a:schemeClr val="tx1"/>
              </a:solidFill>
              <a:latin typeface="Aptos Narrow"/>
            </a:rPr>
            <a:pPr algn="r"/>
            <a:t> 6,82,757 </a:t>
          </a:fld>
          <a:endParaRPr lang="en-IN" sz="1800" b="0" baseline="0">
            <a:solidFill>
              <a:schemeClr val="tx1"/>
            </a:solidFill>
          </a:endParaRPr>
        </a:p>
      </xdr:txBody>
    </xdr:sp>
    <xdr:clientData/>
  </xdr:oneCellAnchor>
  <xdr:oneCellAnchor>
    <xdr:from>
      <xdr:col>10</xdr:col>
      <xdr:colOff>182880</xdr:colOff>
      <xdr:row>24</xdr:row>
      <xdr:rowOff>153220</xdr:rowOff>
    </xdr:from>
    <xdr:ext cx="1235529" cy="311496"/>
    <xdr:sp macro="" textlink="'Pivot Tables'!G15">
      <xdr:nvSpPr>
        <xdr:cNvPr id="40" name="TextBox 39">
          <a:extLst>
            <a:ext uri="{FF2B5EF4-FFF2-40B4-BE49-F238E27FC236}">
              <a16:creationId xmlns:a16="http://schemas.microsoft.com/office/drawing/2014/main" id="{D8295363-B49A-0E7B-22CF-C266179DC934}"/>
            </a:ext>
          </a:extLst>
        </xdr:cNvPr>
        <xdr:cNvSpPr txBox="1"/>
      </xdr:nvSpPr>
      <xdr:spPr>
        <a:xfrm>
          <a:off x="6278880" y="4542340"/>
          <a:ext cx="12355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D4B2E28A-E139-4BB5-83CD-2EB35093974A}" type="TxLink">
            <a:rPr lang="en-US" sz="1400" b="0" i="0" u="none" strike="noStrike" baseline="0">
              <a:solidFill>
                <a:schemeClr val="bg1"/>
              </a:solidFill>
              <a:latin typeface="Aptos Narrow"/>
            </a:rPr>
            <a:pPr algn="r"/>
            <a:t> 1,81,998 </a:t>
          </a:fld>
          <a:endParaRPr lang="en-IN" sz="1800" b="0" baseline="0">
            <a:solidFill>
              <a:schemeClr val="bg1"/>
            </a:solidFill>
          </a:endParaRPr>
        </a:p>
      </xdr:txBody>
    </xdr:sp>
    <xdr:clientData/>
  </xdr:oneCellAnchor>
  <xdr:oneCellAnchor>
    <xdr:from>
      <xdr:col>10</xdr:col>
      <xdr:colOff>182880</xdr:colOff>
      <xdr:row>26</xdr:row>
      <xdr:rowOff>49588</xdr:rowOff>
    </xdr:from>
    <xdr:ext cx="1235529" cy="311496"/>
    <xdr:sp macro="" textlink="'Pivot Tables'!G14">
      <xdr:nvSpPr>
        <xdr:cNvPr id="41" name="TextBox 40">
          <a:extLst>
            <a:ext uri="{FF2B5EF4-FFF2-40B4-BE49-F238E27FC236}">
              <a16:creationId xmlns:a16="http://schemas.microsoft.com/office/drawing/2014/main" id="{B0679FBD-2A96-99DE-CB54-D5EC7C5B5C81}"/>
            </a:ext>
          </a:extLst>
        </xdr:cNvPr>
        <xdr:cNvSpPr txBox="1"/>
      </xdr:nvSpPr>
      <xdr:spPr>
        <a:xfrm>
          <a:off x="6278880" y="4804468"/>
          <a:ext cx="12355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317220E2-9F04-476C-8DFE-F253566F2F26}" type="TxLink">
            <a:rPr lang="en-US" sz="1400" b="0" i="0" u="none" strike="noStrike" baseline="0">
              <a:solidFill>
                <a:schemeClr val="bg1"/>
              </a:solidFill>
              <a:latin typeface="Aptos Narrow"/>
            </a:rPr>
            <a:pPr algn="r"/>
            <a:t> 36,721 </a:t>
          </a:fld>
          <a:endParaRPr lang="en-IN" sz="1800" b="0" baseline="0">
            <a:solidFill>
              <a:schemeClr val="bg1"/>
            </a:solidFill>
          </a:endParaRPr>
        </a:p>
      </xdr:txBody>
    </xdr:sp>
    <xdr:clientData/>
  </xdr:oneCellAnchor>
  <xdr:oneCellAnchor>
    <xdr:from>
      <xdr:col>10</xdr:col>
      <xdr:colOff>182880</xdr:colOff>
      <xdr:row>27</xdr:row>
      <xdr:rowOff>128836</xdr:rowOff>
    </xdr:from>
    <xdr:ext cx="1235529" cy="311496"/>
    <xdr:sp macro="" textlink="'Pivot Tables'!G13">
      <xdr:nvSpPr>
        <xdr:cNvPr id="42" name="TextBox 41">
          <a:extLst>
            <a:ext uri="{FF2B5EF4-FFF2-40B4-BE49-F238E27FC236}">
              <a16:creationId xmlns:a16="http://schemas.microsoft.com/office/drawing/2014/main" id="{88436116-87E5-438C-76F4-D5E0421BBB24}"/>
            </a:ext>
          </a:extLst>
        </xdr:cNvPr>
        <xdr:cNvSpPr txBox="1"/>
      </xdr:nvSpPr>
      <xdr:spPr>
        <a:xfrm>
          <a:off x="6278880" y="5066596"/>
          <a:ext cx="12355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10027FCD-57BF-45CC-8A73-2B5EE7307D5C}" type="TxLink">
            <a:rPr lang="en-US" sz="1400" b="0" i="0" u="none" strike="noStrike" baseline="0">
              <a:solidFill>
                <a:schemeClr val="bg1"/>
              </a:solidFill>
              <a:latin typeface="Aptos Narrow"/>
            </a:rPr>
            <a:pPr algn="r"/>
            <a:t> 2,61,765 </a:t>
          </a:fld>
          <a:endParaRPr lang="en-IN" sz="1800" b="0" baseline="0">
            <a:solidFill>
              <a:schemeClr val="bg1"/>
            </a:solidFill>
          </a:endParaRPr>
        </a:p>
      </xdr:txBody>
    </xdr:sp>
    <xdr:clientData/>
  </xdr:oneCellAnchor>
  <xdr:oneCellAnchor>
    <xdr:from>
      <xdr:col>10</xdr:col>
      <xdr:colOff>182880</xdr:colOff>
      <xdr:row>29</xdr:row>
      <xdr:rowOff>25204</xdr:rowOff>
    </xdr:from>
    <xdr:ext cx="1235529" cy="311496"/>
    <xdr:sp macro="" textlink="'Pivot Tables'!G12">
      <xdr:nvSpPr>
        <xdr:cNvPr id="43" name="TextBox 42">
          <a:extLst>
            <a:ext uri="{FF2B5EF4-FFF2-40B4-BE49-F238E27FC236}">
              <a16:creationId xmlns:a16="http://schemas.microsoft.com/office/drawing/2014/main" id="{4DED0C58-0142-900F-10AE-1505C3E8E644}"/>
            </a:ext>
          </a:extLst>
        </xdr:cNvPr>
        <xdr:cNvSpPr txBox="1"/>
      </xdr:nvSpPr>
      <xdr:spPr>
        <a:xfrm>
          <a:off x="6278880" y="5328724"/>
          <a:ext cx="12355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EFDAB815-CDA7-4CC0-94D9-390A58F529CD}" type="TxLink">
            <a:rPr lang="en-US" sz="1400" b="0" i="0" u="none" strike="noStrike" baseline="0">
              <a:solidFill>
                <a:schemeClr val="bg1"/>
              </a:solidFill>
              <a:latin typeface="Aptos Narrow"/>
            </a:rPr>
            <a:pPr algn="r"/>
            <a:t> 1,16,152 </a:t>
          </a:fld>
          <a:endParaRPr lang="en-IN" sz="1800" b="0" baseline="0">
            <a:solidFill>
              <a:schemeClr val="bg1"/>
            </a:solidFill>
          </a:endParaRPr>
        </a:p>
      </xdr:txBody>
    </xdr:sp>
    <xdr:clientData/>
  </xdr:oneCellAnchor>
  <xdr:oneCellAnchor>
    <xdr:from>
      <xdr:col>10</xdr:col>
      <xdr:colOff>182880</xdr:colOff>
      <xdr:row>30</xdr:row>
      <xdr:rowOff>104452</xdr:rowOff>
    </xdr:from>
    <xdr:ext cx="1235529" cy="311496"/>
    <xdr:sp macro="" textlink="'Pivot Tables'!G11">
      <xdr:nvSpPr>
        <xdr:cNvPr id="44" name="TextBox 43">
          <a:extLst>
            <a:ext uri="{FF2B5EF4-FFF2-40B4-BE49-F238E27FC236}">
              <a16:creationId xmlns:a16="http://schemas.microsoft.com/office/drawing/2014/main" id="{A80544EC-F273-3869-49FA-417560B402F7}"/>
            </a:ext>
          </a:extLst>
        </xdr:cNvPr>
        <xdr:cNvSpPr txBox="1"/>
      </xdr:nvSpPr>
      <xdr:spPr>
        <a:xfrm>
          <a:off x="6278880" y="5590852"/>
          <a:ext cx="12355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8B6DCD12-9EC3-4906-B1CE-BF03E1868CF6}" type="TxLink">
            <a:rPr lang="en-US" sz="1400" b="0" i="0" u="none" strike="noStrike" baseline="0">
              <a:solidFill>
                <a:schemeClr val="bg1"/>
              </a:solidFill>
              <a:latin typeface="Aptos Narrow"/>
            </a:rPr>
            <a:pPr algn="r"/>
            <a:t> 86,121 </a:t>
          </a:fld>
          <a:endParaRPr lang="en-IN" sz="1800" b="0" baseline="0">
            <a:solidFill>
              <a:schemeClr val="bg1"/>
            </a:solidFill>
          </a:endParaRPr>
        </a:p>
      </xdr:txBody>
    </xdr:sp>
    <xdr:clientData/>
  </xdr:oneCellAnchor>
  <xdr:oneCellAnchor>
    <xdr:from>
      <xdr:col>8</xdr:col>
      <xdr:colOff>68580</xdr:colOff>
      <xdr:row>20</xdr:row>
      <xdr:rowOff>15240</xdr:rowOff>
    </xdr:from>
    <xdr:ext cx="1046505" cy="405432"/>
    <xdr:sp macro="" textlink="">
      <xdr:nvSpPr>
        <xdr:cNvPr id="51" name="TextBox 50">
          <a:extLst>
            <a:ext uri="{FF2B5EF4-FFF2-40B4-BE49-F238E27FC236}">
              <a16:creationId xmlns:a16="http://schemas.microsoft.com/office/drawing/2014/main" id="{9776D785-8300-CA96-8FE4-0DBD4D4194F7}"/>
            </a:ext>
          </a:extLst>
        </xdr:cNvPr>
        <xdr:cNvSpPr txBox="1"/>
      </xdr:nvSpPr>
      <xdr:spPr>
        <a:xfrm>
          <a:off x="4945380" y="3601122"/>
          <a:ext cx="104650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baseline="0">
              <a:solidFill>
                <a:srgbClr val="E5B244"/>
              </a:solidFill>
            </a:rPr>
            <a:t>Salaries</a:t>
          </a:r>
        </a:p>
      </xdr:txBody>
    </xdr:sp>
    <xdr:clientData/>
  </xdr:oneCellAnchor>
  <xdr:oneCellAnchor>
    <xdr:from>
      <xdr:col>8</xdr:col>
      <xdr:colOff>68580</xdr:colOff>
      <xdr:row>21</xdr:row>
      <xdr:rowOff>137160</xdr:rowOff>
    </xdr:from>
    <xdr:ext cx="1620636" cy="248851"/>
    <xdr:sp macro="" textlink="">
      <xdr:nvSpPr>
        <xdr:cNvPr id="54" name="TextBox 53">
          <a:extLst>
            <a:ext uri="{FF2B5EF4-FFF2-40B4-BE49-F238E27FC236}">
              <a16:creationId xmlns:a16="http://schemas.microsoft.com/office/drawing/2014/main" id="{EABBD1BE-4676-F7BB-3297-BC0159558825}"/>
            </a:ext>
          </a:extLst>
        </xdr:cNvPr>
        <xdr:cNvSpPr txBox="1"/>
      </xdr:nvSpPr>
      <xdr:spPr>
        <a:xfrm>
          <a:off x="4945380" y="3902336"/>
          <a:ext cx="162063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tx1">
                  <a:lumMod val="50000"/>
                  <a:lumOff val="50000"/>
                </a:schemeClr>
              </a:solidFill>
            </a:rPr>
            <a:t>Salary Amount By Job Titles</a:t>
          </a:r>
        </a:p>
      </xdr:txBody>
    </xdr:sp>
    <xdr:clientData/>
  </xdr:oneCellAnchor>
  <xdr:oneCellAnchor>
    <xdr:from>
      <xdr:col>12</xdr:col>
      <xdr:colOff>320040</xdr:colOff>
      <xdr:row>18</xdr:row>
      <xdr:rowOff>45720</xdr:rowOff>
    </xdr:from>
    <xdr:ext cx="2667000" cy="311496"/>
    <xdr:sp macro="" textlink="">
      <xdr:nvSpPr>
        <xdr:cNvPr id="55" name="TextBox 54">
          <a:extLst>
            <a:ext uri="{FF2B5EF4-FFF2-40B4-BE49-F238E27FC236}">
              <a16:creationId xmlns:a16="http://schemas.microsoft.com/office/drawing/2014/main" id="{698BA59A-3E49-F051-BD0E-DE21FFF1EC62}"/>
            </a:ext>
          </a:extLst>
        </xdr:cNvPr>
        <xdr:cNvSpPr txBox="1"/>
      </xdr:nvSpPr>
      <xdr:spPr>
        <a:xfrm>
          <a:off x="7635240" y="3337560"/>
          <a:ext cx="26670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baseline="0">
              <a:solidFill>
                <a:srgbClr val="E5B244"/>
              </a:solidFill>
            </a:rPr>
            <a:t>Employement Status BreakDown</a:t>
          </a:r>
        </a:p>
      </xdr:txBody>
    </xdr:sp>
    <xdr:clientData/>
  </xdr:oneCellAnchor>
  <xdr:twoCellAnchor>
    <xdr:from>
      <xdr:col>12</xdr:col>
      <xdr:colOff>228600</xdr:colOff>
      <xdr:row>19</xdr:row>
      <xdr:rowOff>15240</xdr:rowOff>
    </xdr:from>
    <xdr:to>
      <xdr:col>14</xdr:col>
      <xdr:colOff>464820</xdr:colOff>
      <xdr:row>26</xdr:row>
      <xdr:rowOff>129540</xdr:rowOff>
    </xdr:to>
    <xdr:graphicFrame macro="">
      <xdr:nvGraphicFramePr>
        <xdr:cNvPr id="56" name="Chart 55">
          <a:extLst>
            <a:ext uri="{FF2B5EF4-FFF2-40B4-BE49-F238E27FC236}">
              <a16:creationId xmlns:a16="http://schemas.microsoft.com/office/drawing/2014/main" id="{D596B2EC-2217-4775-AF01-16708E3A2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464820</xdr:colOff>
      <xdr:row>23</xdr:row>
      <xdr:rowOff>22860</xdr:rowOff>
    </xdr:from>
    <xdr:to>
      <xdr:col>7</xdr:col>
      <xdr:colOff>419100</xdr:colOff>
      <xdr:row>32</xdr:row>
      <xdr:rowOff>22860</xdr:rowOff>
    </xdr:to>
    <xdr:graphicFrame macro="">
      <xdr:nvGraphicFramePr>
        <xdr:cNvPr id="57" name="Chart 56">
          <a:extLst>
            <a:ext uri="{FF2B5EF4-FFF2-40B4-BE49-F238E27FC236}">
              <a16:creationId xmlns:a16="http://schemas.microsoft.com/office/drawing/2014/main" id="{A1CF8588-16B5-4789-8629-8ACDAA427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548640</xdr:colOff>
      <xdr:row>20</xdr:row>
      <xdr:rowOff>15240</xdr:rowOff>
    </xdr:from>
    <xdr:ext cx="949619" cy="311496"/>
    <xdr:sp macro="" textlink="">
      <xdr:nvSpPr>
        <xdr:cNvPr id="58" name="TextBox 57">
          <a:extLst>
            <a:ext uri="{FF2B5EF4-FFF2-40B4-BE49-F238E27FC236}">
              <a16:creationId xmlns:a16="http://schemas.microsoft.com/office/drawing/2014/main" id="{2547DA9C-B986-16F2-9BFC-BBB7536A6D8D}"/>
            </a:ext>
          </a:extLst>
        </xdr:cNvPr>
        <xdr:cNvSpPr txBox="1"/>
      </xdr:nvSpPr>
      <xdr:spPr>
        <a:xfrm>
          <a:off x="2372822" y="3709785"/>
          <a:ext cx="94961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baseline="0">
              <a:solidFill>
                <a:srgbClr val="E5B244"/>
              </a:solidFill>
            </a:rPr>
            <a:t>Age Range</a:t>
          </a:r>
        </a:p>
      </xdr:txBody>
    </xdr:sp>
    <xdr:clientData/>
  </xdr:oneCellAnchor>
  <xdr:oneCellAnchor>
    <xdr:from>
      <xdr:col>3</xdr:col>
      <xdr:colOff>548640</xdr:colOff>
      <xdr:row>21</xdr:row>
      <xdr:rowOff>30480</xdr:rowOff>
    </xdr:from>
    <xdr:ext cx="1983620" cy="405367"/>
    <xdr:sp macro="" textlink="">
      <xdr:nvSpPr>
        <xdr:cNvPr id="59" name="TextBox 58">
          <a:extLst>
            <a:ext uri="{FF2B5EF4-FFF2-40B4-BE49-F238E27FC236}">
              <a16:creationId xmlns:a16="http://schemas.microsoft.com/office/drawing/2014/main" id="{5146A052-C0BA-4F86-A586-AB04101F4A3F}"/>
            </a:ext>
          </a:extLst>
        </xdr:cNvPr>
        <xdr:cNvSpPr txBox="1"/>
      </xdr:nvSpPr>
      <xdr:spPr>
        <a:xfrm>
          <a:off x="2377440" y="3870960"/>
          <a:ext cx="1983620"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tx1">
                  <a:lumMod val="50000"/>
                  <a:lumOff val="50000"/>
                </a:schemeClr>
              </a:solidFill>
            </a:rPr>
            <a:t>No of employees according to age </a:t>
          </a:r>
        </a:p>
        <a:p>
          <a:r>
            <a:rPr lang="en-IN" sz="1000" b="1" baseline="0">
              <a:solidFill>
                <a:schemeClr val="tx1">
                  <a:lumMod val="50000"/>
                  <a:lumOff val="50000"/>
                </a:schemeClr>
              </a:solidFill>
            </a:rPr>
            <a:t>ranges and genders</a:t>
          </a:r>
        </a:p>
      </xdr:txBody>
    </xdr:sp>
    <xdr:clientData/>
  </xdr:oneCellAnchor>
  <xdr:oneCellAnchor>
    <xdr:from>
      <xdr:col>5</xdr:col>
      <xdr:colOff>548640</xdr:colOff>
      <xdr:row>22</xdr:row>
      <xdr:rowOff>22860</xdr:rowOff>
    </xdr:from>
    <xdr:ext cx="1348740" cy="248851"/>
    <xdr:sp macro="" textlink="">
      <xdr:nvSpPr>
        <xdr:cNvPr id="60" name="TextBox 59">
          <a:extLst>
            <a:ext uri="{FF2B5EF4-FFF2-40B4-BE49-F238E27FC236}">
              <a16:creationId xmlns:a16="http://schemas.microsoft.com/office/drawing/2014/main" id="{448D5397-6B6F-2E18-251C-51DE8432880C}"/>
            </a:ext>
          </a:extLst>
        </xdr:cNvPr>
        <xdr:cNvSpPr txBox="1"/>
      </xdr:nvSpPr>
      <xdr:spPr>
        <a:xfrm>
          <a:off x="3596640" y="4046220"/>
          <a:ext cx="13487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0" baseline="0">
              <a:solidFill>
                <a:schemeClr val="bg1"/>
              </a:solidFill>
            </a:rPr>
            <a:t>  Female              Male</a:t>
          </a:r>
        </a:p>
      </xdr:txBody>
    </xdr:sp>
    <xdr:clientData/>
  </xdr:oneCellAnchor>
  <xdr:twoCellAnchor>
    <xdr:from>
      <xdr:col>14</xdr:col>
      <xdr:colOff>53340</xdr:colOff>
      <xdr:row>27</xdr:row>
      <xdr:rowOff>0</xdr:rowOff>
    </xdr:from>
    <xdr:to>
      <xdr:col>14</xdr:col>
      <xdr:colOff>289560</xdr:colOff>
      <xdr:row>28</xdr:row>
      <xdr:rowOff>38100</xdr:rowOff>
    </xdr:to>
    <xdr:sp macro="" textlink="">
      <xdr:nvSpPr>
        <xdr:cNvPr id="67" name="Flowchart: Connector 66">
          <a:extLst>
            <a:ext uri="{FF2B5EF4-FFF2-40B4-BE49-F238E27FC236}">
              <a16:creationId xmlns:a16="http://schemas.microsoft.com/office/drawing/2014/main" id="{814B9FD3-F667-AE81-3198-13F150A016C4}"/>
            </a:ext>
          </a:extLst>
        </xdr:cNvPr>
        <xdr:cNvSpPr/>
      </xdr:nvSpPr>
      <xdr:spPr>
        <a:xfrm>
          <a:off x="8587740" y="4937760"/>
          <a:ext cx="236220" cy="220980"/>
        </a:xfrm>
        <a:prstGeom prst="flowChartConnector">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144780</xdr:colOff>
      <xdr:row>26</xdr:row>
      <xdr:rowOff>175260</xdr:rowOff>
    </xdr:from>
    <xdr:to>
      <xdr:col>16</xdr:col>
      <xdr:colOff>381000</xdr:colOff>
      <xdr:row>28</xdr:row>
      <xdr:rowOff>30480</xdr:rowOff>
    </xdr:to>
    <xdr:sp macro="" textlink="">
      <xdr:nvSpPr>
        <xdr:cNvPr id="68" name="Flowchart: Connector 67">
          <a:extLst>
            <a:ext uri="{FF2B5EF4-FFF2-40B4-BE49-F238E27FC236}">
              <a16:creationId xmlns:a16="http://schemas.microsoft.com/office/drawing/2014/main" id="{B2693FF0-AB82-1FBA-98AE-B8E11B3421ED}"/>
            </a:ext>
          </a:extLst>
        </xdr:cNvPr>
        <xdr:cNvSpPr/>
      </xdr:nvSpPr>
      <xdr:spPr>
        <a:xfrm>
          <a:off x="9898380" y="4930140"/>
          <a:ext cx="236220" cy="220980"/>
        </a:xfrm>
        <a:prstGeom prst="flowChartConnector">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16</xdr:col>
      <xdr:colOff>129540</xdr:colOff>
      <xdr:row>20</xdr:row>
      <xdr:rowOff>83820</xdr:rowOff>
    </xdr:from>
    <xdr:to>
      <xdr:col>16</xdr:col>
      <xdr:colOff>365760</xdr:colOff>
      <xdr:row>21</xdr:row>
      <xdr:rowOff>121920</xdr:rowOff>
    </xdr:to>
    <xdr:sp macro="" textlink="">
      <xdr:nvSpPr>
        <xdr:cNvPr id="69" name="Flowchart: Connector 68">
          <a:extLst>
            <a:ext uri="{FF2B5EF4-FFF2-40B4-BE49-F238E27FC236}">
              <a16:creationId xmlns:a16="http://schemas.microsoft.com/office/drawing/2014/main" id="{8E76650A-B908-3F1B-3DFC-AF74F042901F}"/>
            </a:ext>
          </a:extLst>
        </xdr:cNvPr>
        <xdr:cNvSpPr/>
      </xdr:nvSpPr>
      <xdr:spPr>
        <a:xfrm>
          <a:off x="9883140" y="3741420"/>
          <a:ext cx="236220" cy="22098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7</xdr:col>
      <xdr:colOff>38100</xdr:colOff>
      <xdr:row>22</xdr:row>
      <xdr:rowOff>83820</xdr:rowOff>
    </xdr:from>
    <xdr:to>
      <xdr:col>7</xdr:col>
      <xdr:colOff>152400</xdr:colOff>
      <xdr:row>23</xdr:row>
      <xdr:rowOff>7620</xdr:rowOff>
    </xdr:to>
    <xdr:sp macro="" textlink="">
      <xdr:nvSpPr>
        <xdr:cNvPr id="71" name="Flowchart: Connector 70">
          <a:extLst>
            <a:ext uri="{FF2B5EF4-FFF2-40B4-BE49-F238E27FC236}">
              <a16:creationId xmlns:a16="http://schemas.microsoft.com/office/drawing/2014/main" id="{BEDE5507-7C34-0B61-2212-DD288E0694F3}"/>
            </a:ext>
          </a:extLst>
        </xdr:cNvPr>
        <xdr:cNvSpPr/>
      </xdr:nvSpPr>
      <xdr:spPr>
        <a:xfrm>
          <a:off x="4305300" y="4107180"/>
          <a:ext cx="114300" cy="106680"/>
        </a:xfrm>
        <a:prstGeom prst="flowChartConnector">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556260</xdr:colOff>
      <xdr:row>22</xdr:row>
      <xdr:rowOff>91440</xdr:rowOff>
    </xdr:from>
    <xdr:to>
      <xdr:col>6</xdr:col>
      <xdr:colOff>60960</xdr:colOff>
      <xdr:row>23</xdr:row>
      <xdr:rowOff>15240</xdr:rowOff>
    </xdr:to>
    <xdr:sp macro="" textlink="">
      <xdr:nvSpPr>
        <xdr:cNvPr id="72" name="Flowchart: Connector 71">
          <a:extLst>
            <a:ext uri="{FF2B5EF4-FFF2-40B4-BE49-F238E27FC236}">
              <a16:creationId xmlns:a16="http://schemas.microsoft.com/office/drawing/2014/main" id="{710800ED-3606-507C-08F1-D8679BA84C4B}"/>
            </a:ext>
          </a:extLst>
        </xdr:cNvPr>
        <xdr:cNvSpPr/>
      </xdr:nvSpPr>
      <xdr:spPr>
        <a:xfrm>
          <a:off x="3604260" y="4114800"/>
          <a:ext cx="114300" cy="106680"/>
        </a:xfrm>
        <a:prstGeom prst="flowChartConnector">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142355</xdr:colOff>
      <xdr:row>25</xdr:row>
      <xdr:rowOff>35644</xdr:rowOff>
    </xdr:from>
    <xdr:to>
      <xdr:col>2</xdr:col>
      <xdr:colOff>237798</xdr:colOff>
      <xdr:row>28</xdr:row>
      <xdr:rowOff>116756</xdr:rowOff>
    </xdr:to>
    <xdr:graphicFrame macro="">
      <xdr:nvGraphicFramePr>
        <xdr:cNvPr id="79" name="Chart 78">
          <a:extLst>
            <a:ext uri="{FF2B5EF4-FFF2-40B4-BE49-F238E27FC236}">
              <a16:creationId xmlns:a16="http://schemas.microsoft.com/office/drawing/2014/main" id="{0B661CF6-EC36-40C1-B006-22A40B4F0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142355</xdr:colOff>
      <xdr:row>27</xdr:row>
      <xdr:rowOff>106554</xdr:rowOff>
    </xdr:from>
    <xdr:to>
      <xdr:col>2</xdr:col>
      <xdr:colOff>214606</xdr:colOff>
      <xdr:row>30</xdr:row>
      <xdr:rowOff>137286</xdr:rowOff>
    </xdr:to>
    <xdr:graphicFrame macro="">
      <xdr:nvGraphicFramePr>
        <xdr:cNvPr id="80" name="Chart 79">
          <a:extLst>
            <a:ext uri="{FF2B5EF4-FFF2-40B4-BE49-F238E27FC236}">
              <a16:creationId xmlns:a16="http://schemas.microsoft.com/office/drawing/2014/main" id="{8C82E41D-FE0B-4D95-9AC8-AE27725A6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142355</xdr:colOff>
      <xdr:row>30</xdr:row>
      <xdr:rowOff>44272</xdr:rowOff>
    </xdr:from>
    <xdr:to>
      <xdr:col>2</xdr:col>
      <xdr:colOff>181994</xdr:colOff>
      <xdr:row>33</xdr:row>
      <xdr:rowOff>62408</xdr:rowOff>
    </xdr:to>
    <xdr:graphicFrame macro="">
      <xdr:nvGraphicFramePr>
        <xdr:cNvPr id="81" name="Chart 80">
          <a:extLst>
            <a:ext uri="{FF2B5EF4-FFF2-40B4-BE49-F238E27FC236}">
              <a16:creationId xmlns:a16="http://schemas.microsoft.com/office/drawing/2014/main" id="{743029C6-8EE4-4C69-BDFD-9246B288A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142355</xdr:colOff>
      <xdr:row>25</xdr:row>
      <xdr:rowOff>3047</xdr:rowOff>
    </xdr:from>
    <xdr:ext cx="949619" cy="280205"/>
    <xdr:sp macro="" textlink="">
      <xdr:nvSpPr>
        <xdr:cNvPr id="82" name="TextBox 81">
          <a:extLst>
            <a:ext uri="{FF2B5EF4-FFF2-40B4-BE49-F238E27FC236}">
              <a16:creationId xmlns:a16="http://schemas.microsoft.com/office/drawing/2014/main" id="{0FC50F8D-9135-AE73-1AE2-7AC8A7B9ADD4}"/>
            </a:ext>
          </a:extLst>
        </xdr:cNvPr>
        <xdr:cNvSpPr txBox="1"/>
      </xdr:nvSpPr>
      <xdr:spPr>
        <a:xfrm>
          <a:off x="142355" y="4575047"/>
          <a:ext cx="94961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bg1"/>
              </a:solidFill>
            </a:rPr>
            <a:t>Brand Office</a:t>
          </a:r>
        </a:p>
      </xdr:txBody>
    </xdr:sp>
    <xdr:clientData/>
  </xdr:oneCellAnchor>
  <xdr:oneCellAnchor>
    <xdr:from>
      <xdr:col>0</xdr:col>
      <xdr:colOff>142355</xdr:colOff>
      <xdr:row>27</xdr:row>
      <xdr:rowOff>74675</xdr:rowOff>
    </xdr:from>
    <xdr:ext cx="913070" cy="280205"/>
    <xdr:sp macro="" textlink="">
      <xdr:nvSpPr>
        <xdr:cNvPr id="83" name="TextBox 82">
          <a:extLst>
            <a:ext uri="{FF2B5EF4-FFF2-40B4-BE49-F238E27FC236}">
              <a16:creationId xmlns:a16="http://schemas.microsoft.com/office/drawing/2014/main" id="{CF4C78A6-167A-2133-69F5-D30A22905102}"/>
            </a:ext>
          </a:extLst>
        </xdr:cNvPr>
        <xdr:cNvSpPr txBox="1"/>
      </xdr:nvSpPr>
      <xdr:spPr>
        <a:xfrm>
          <a:off x="142355" y="5012435"/>
          <a:ext cx="91307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bg1"/>
              </a:solidFill>
            </a:rPr>
            <a:t>Head Office</a:t>
          </a:r>
        </a:p>
      </xdr:txBody>
    </xdr:sp>
    <xdr:clientData/>
  </xdr:oneCellAnchor>
  <xdr:oneCellAnchor>
    <xdr:from>
      <xdr:col>0</xdr:col>
      <xdr:colOff>142355</xdr:colOff>
      <xdr:row>29</xdr:row>
      <xdr:rowOff>169163</xdr:rowOff>
    </xdr:from>
    <xdr:ext cx="663451" cy="280205"/>
    <xdr:sp macro="" textlink="">
      <xdr:nvSpPr>
        <xdr:cNvPr id="84" name="TextBox 83">
          <a:extLst>
            <a:ext uri="{FF2B5EF4-FFF2-40B4-BE49-F238E27FC236}">
              <a16:creationId xmlns:a16="http://schemas.microsoft.com/office/drawing/2014/main" id="{B656894C-CFB5-E9C0-DAA1-D9F4995884F2}"/>
            </a:ext>
          </a:extLst>
        </xdr:cNvPr>
        <xdr:cNvSpPr txBox="1"/>
      </xdr:nvSpPr>
      <xdr:spPr>
        <a:xfrm>
          <a:off x="142355" y="5472683"/>
          <a:ext cx="6634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bg1"/>
              </a:solidFill>
            </a:rPr>
            <a:t>Remote</a:t>
          </a:r>
        </a:p>
      </xdr:txBody>
    </xdr:sp>
    <xdr:clientData/>
  </xdr:oneCellAnchor>
  <xdr:oneCellAnchor>
    <xdr:from>
      <xdr:col>2</xdr:col>
      <xdr:colOff>126186</xdr:colOff>
      <xdr:row>26</xdr:row>
      <xdr:rowOff>3048</xdr:rowOff>
    </xdr:from>
    <xdr:ext cx="565520" cy="311496"/>
    <xdr:sp macro="" textlink="">
      <xdr:nvSpPr>
        <xdr:cNvPr id="89" name="TextBox 88">
          <a:extLst>
            <a:ext uri="{FF2B5EF4-FFF2-40B4-BE49-F238E27FC236}">
              <a16:creationId xmlns:a16="http://schemas.microsoft.com/office/drawing/2014/main" id="{4F975C27-4282-97CD-ED35-947E620EF725}"/>
            </a:ext>
          </a:extLst>
        </xdr:cNvPr>
        <xdr:cNvSpPr txBox="1"/>
      </xdr:nvSpPr>
      <xdr:spPr>
        <a:xfrm>
          <a:off x="1345386" y="4757928"/>
          <a:ext cx="5655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0" u="none" strike="noStrike">
              <a:solidFill>
                <a:schemeClr val="bg1"/>
              </a:solidFill>
              <a:effectLst/>
              <a:latin typeface="+mn-lt"/>
              <a:ea typeface="+mn-ea"/>
              <a:cs typeface="+mn-cs"/>
            </a:rPr>
            <a:t>46%</a:t>
          </a:r>
          <a:r>
            <a:rPr lang="en-IN" sz="1400">
              <a:solidFill>
                <a:schemeClr val="bg1"/>
              </a:solidFill>
            </a:rPr>
            <a:t> </a:t>
          </a:r>
          <a:endParaRPr lang="en-IN" sz="1400" b="0" baseline="0">
            <a:solidFill>
              <a:schemeClr val="bg1"/>
            </a:solidFill>
          </a:endParaRPr>
        </a:p>
      </xdr:txBody>
    </xdr:sp>
    <xdr:clientData/>
  </xdr:oneCellAnchor>
  <xdr:oneCellAnchor>
    <xdr:from>
      <xdr:col>2</xdr:col>
      <xdr:colOff>96373</xdr:colOff>
      <xdr:row>28</xdr:row>
      <xdr:rowOff>45720</xdr:rowOff>
    </xdr:from>
    <xdr:ext cx="996895" cy="241392"/>
    <xdr:sp macro="" textlink="">
      <xdr:nvSpPr>
        <xdr:cNvPr id="90" name="TextBox 89">
          <a:extLst>
            <a:ext uri="{FF2B5EF4-FFF2-40B4-BE49-F238E27FC236}">
              <a16:creationId xmlns:a16="http://schemas.microsoft.com/office/drawing/2014/main" id="{B0D178A1-8CC4-6822-F3CC-38E28D15551D}"/>
            </a:ext>
          </a:extLst>
        </xdr:cNvPr>
        <xdr:cNvSpPr txBox="1"/>
      </xdr:nvSpPr>
      <xdr:spPr>
        <a:xfrm>
          <a:off x="1315573" y="5166360"/>
          <a:ext cx="996895" cy="241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i="0" u="none" strike="noStrike">
              <a:solidFill>
                <a:schemeClr val="bg1"/>
              </a:solidFill>
              <a:effectLst/>
              <a:latin typeface="+mn-lt"/>
              <a:ea typeface="+mn-ea"/>
              <a:cs typeface="+mn-cs"/>
            </a:rPr>
            <a:t>16%</a:t>
          </a:r>
          <a:r>
            <a:rPr lang="en-IN" sz="1400">
              <a:solidFill>
                <a:schemeClr val="bg1"/>
              </a:solidFill>
            </a:rPr>
            <a:t> </a:t>
          </a:r>
          <a:endParaRPr lang="en-IN" sz="1400" b="0" baseline="0">
            <a:solidFill>
              <a:schemeClr val="bg1"/>
            </a:solidFill>
          </a:endParaRPr>
        </a:p>
      </xdr:txBody>
    </xdr:sp>
    <xdr:clientData/>
  </xdr:oneCellAnchor>
  <xdr:oneCellAnchor>
    <xdr:from>
      <xdr:col>2</xdr:col>
      <xdr:colOff>119233</xdr:colOff>
      <xdr:row>30</xdr:row>
      <xdr:rowOff>144780</xdr:rowOff>
    </xdr:from>
    <xdr:ext cx="996895" cy="241392"/>
    <xdr:sp macro="" textlink="">
      <xdr:nvSpPr>
        <xdr:cNvPr id="95" name="TextBox 94">
          <a:extLst>
            <a:ext uri="{FF2B5EF4-FFF2-40B4-BE49-F238E27FC236}">
              <a16:creationId xmlns:a16="http://schemas.microsoft.com/office/drawing/2014/main" id="{A52721DC-8E25-EE7D-ED64-934FA5418203}"/>
            </a:ext>
          </a:extLst>
        </xdr:cNvPr>
        <xdr:cNvSpPr txBox="1"/>
      </xdr:nvSpPr>
      <xdr:spPr>
        <a:xfrm>
          <a:off x="1338433" y="5631180"/>
          <a:ext cx="996895" cy="241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i="0" u="none" strike="noStrike">
              <a:solidFill>
                <a:schemeClr val="bg1"/>
              </a:solidFill>
              <a:effectLst/>
              <a:latin typeface="+mn-lt"/>
              <a:ea typeface="+mn-ea"/>
              <a:cs typeface="+mn-cs"/>
            </a:rPr>
            <a:t>38%</a:t>
          </a:r>
          <a:r>
            <a:rPr lang="en-IN" sz="1400">
              <a:solidFill>
                <a:schemeClr val="bg1"/>
              </a:solidFill>
            </a:rPr>
            <a:t> </a:t>
          </a:r>
          <a:endParaRPr lang="en-IN" sz="1400" b="0" baseline="0">
            <a:solidFill>
              <a:schemeClr val="bg1"/>
            </a:solidFill>
          </a:endParaRPr>
        </a:p>
      </xdr:txBody>
    </xdr:sp>
    <xdr:clientData/>
  </xdr:oneCellAnchor>
  <xdr:oneCellAnchor>
    <xdr:from>
      <xdr:col>0</xdr:col>
      <xdr:colOff>142355</xdr:colOff>
      <xdr:row>23</xdr:row>
      <xdr:rowOff>7620</xdr:rowOff>
    </xdr:from>
    <xdr:ext cx="1251368" cy="311496"/>
    <xdr:sp macro="" textlink="">
      <xdr:nvSpPr>
        <xdr:cNvPr id="98" name="TextBox 97">
          <a:extLst>
            <a:ext uri="{FF2B5EF4-FFF2-40B4-BE49-F238E27FC236}">
              <a16:creationId xmlns:a16="http://schemas.microsoft.com/office/drawing/2014/main" id="{2FA49AB1-4CD6-D163-3394-921503B48E54}"/>
            </a:ext>
          </a:extLst>
        </xdr:cNvPr>
        <xdr:cNvSpPr txBox="1"/>
      </xdr:nvSpPr>
      <xdr:spPr>
        <a:xfrm>
          <a:off x="142355" y="4213860"/>
          <a:ext cx="12513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baseline="0">
              <a:solidFill>
                <a:srgbClr val="E5B244"/>
              </a:solidFill>
            </a:rPr>
            <a:t>Work Location</a:t>
          </a:r>
        </a:p>
      </xdr:txBody>
    </xdr:sp>
    <xdr:clientData/>
  </xdr:oneCellAnchor>
  <xdr:oneCellAnchor>
    <xdr:from>
      <xdr:col>0</xdr:col>
      <xdr:colOff>142355</xdr:colOff>
      <xdr:row>24</xdr:row>
      <xdr:rowOff>15240</xdr:rowOff>
    </xdr:from>
    <xdr:ext cx="1496692" cy="248851"/>
    <xdr:sp macro="" textlink="">
      <xdr:nvSpPr>
        <xdr:cNvPr id="99" name="TextBox 98">
          <a:extLst>
            <a:ext uri="{FF2B5EF4-FFF2-40B4-BE49-F238E27FC236}">
              <a16:creationId xmlns:a16="http://schemas.microsoft.com/office/drawing/2014/main" id="{27B09356-F5B8-DC1B-1A2E-5295D4A80A5F}"/>
            </a:ext>
          </a:extLst>
        </xdr:cNvPr>
        <xdr:cNvSpPr txBox="1"/>
      </xdr:nvSpPr>
      <xdr:spPr>
        <a:xfrm>
          <a:off x="142355" y="4404360"/>
          <a:ext cx="149669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tx1">
                  <a:lumMod val="50000"/>
                  <a:lumOff val="50000"/>
                </a:schemeClr>
              </a:solidFill>
            </a:rPr>
            <a:t>Employees to Workplace</a:t>
          </a:r>
        </a:p>
      </xdr:txBody>
    </xdr:sp>
    <xdr:clientData/>
  </xdr:oneCellAnchor>
  <xdr:oneCellAnchor>
    <xdr:from>
      <xdr:col>0</xdr:col>
      <xdr:colOff>193887</xdr:colOff>
      <xdr:row>14</xdr:row>
      <xdr:rowOff>152646</xdr:rowOff>
    </xdr:from>
    <xdr:ext cx="1176732" cy="280205"/>
    <xdr:sp macro="" textlink="">
      <xdr:nvSpPr>
        <xdr:cNvPr id="100" name="TextBox 99">
          <a:extLst>
            <a:ext uri="{FF2B5EF4-FFF2-40B4-BE49-F238E27FC236}">
              <a16:creationId xmlns:a16="http://schemas.microsoft.com/office/drawing/2014/main" id="{5A0AEFB0-8410-4093-AA12-E9243CFC4623}"/>
            </a:ext>
          </a:extLst>
        </xdr:cNvPr>
        <xdr:cNvSpPr txBox="1"/>
      </xdr:nvSpPr>
      <xdr:spPr>
        <a:xfrm>
          <a:off x="193887" y="2738828"/>
          <a:ext cx="117673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bg1"/>
              </a:solidFill>
            </a:rPr>
            <a:t>Communication</a:t>
          </a:r>
        </a:p>
      </xdr:txBody>
    </xdr:sp>
    <xdr:clientData/>
  </xdr:oneCellAnchor>
  <xdr:oneCellAnchor>
    <xdr:from>
      <xdr:col>0</xdr:col>
      <xdr:colOff>193887</xdr:colOff>
      <xdr:row>16</xdr:row>
      <xdr:rowOff>47167</xdr:rowOff>
    </xdr:from>
    <xdr:ext cx="605679" cy="280205"/>
    <xdr:sp macro="" textlink="">
      <xdr:nvSpPr>
        <xdr:cNvPr id="101" name="TextBox 100">
          <a:extLst>
            <a:ext uri="{FF2B5EF4-FFF2-40B4-BE49-F238E27FC236}">
              <a16:creationId xmlns:a16="http://schemas.microsoft.com/office/drawing/2014/main" id="{B2EC6263-F3F5-4DC3-8D78-6B5F91CEBC6F}"/>
            </a:ext>
          </a:extLst>
        </xdr:cNvPr>
        <xdr:cNvSpPr txBox="1"/>
      </xdr:nvSpPr>
      <xdr:spPr>
        <a:xfrm>
          <a:off x="193887" y="3002803"/>
          <a:ext cx="60567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bg1"/>
              </a:solidFill>
            </a:rPr>
            <a:t>Design</a:t>
          </a:r>
        </a:p>
      </xdr:txBody>
    </xdr:sp>
    <xdr:clientData/>
  </xdr:oneCellAnchor>
  <xdr:oneCellAnchor>
    <xdr:from>
      <xdr:col>0</xdr:col>
      <xdr:colOff>193887</xdr:colOff>
      <xdr:row>17</xdr:row>
      <xdr:rowOff>128262</xdr:rowOff>
    </xdr:from>
    <xdr:ext cx="511294" cy="280205"/>
    <xdr:sp macro="" textlink="">
      <xdr:nvSpPr>
        <xdr:cNvPr id="102" name="TextBox 101">
          <a:extLst>
            <a:ext uri="{FF2B5EF4-FFF2-40B4-BE49-F238E27FC236}">
              <a16:creationId xmlns:a16="http://schemas.microsoft.com/office/drawing/2014/main" id="{1DFFB233-3F7C-43F0-BBC8-3E8745D342E0}"/>
            </a:ext>
          </a:extLst>
        </xdr:cNvPr>
        <xdr:cNvSpPr txBox="1"/>
      </xdr:nvSpPr>
      <xdr:spPr>
        <a:xfrm>
          <a:off x="193887" y="3268626"/>
          <a:ext cx="51129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bg1"/>
              </a:solidFill>
            </a:rPr>
            <a:t>Excel</a:t>
          </a:r>
          <a:endParaRPr lang="en-IN" sz="1200" b="0" baseline="0">
            <a:solidFill>
              <a:schemeClr val="bg1"/>
            </a:solidFill>
          </a:endParaRPr>
        </a:p>
      </xdr:txBody>
    </xdr:sp>
    <xdr:clientData/>
  </xdr:oneCellAnchor>
  <xdr:oneCellAnchor>
    <xdr:from>
      <xdr:col>0</xdr:col>
      <xdr:colOff>193887</xdr:colOff>
      <xdr:row>19</xdr:row>
      <xdr:rowOff>22783</xdr:rowOff>
    </xdr:from>
    <xdr:ext cx="986617" cy="280205"/>
    <xdr:sp macro="" textlink="">
      <xdr:nvSpPr>
        <xdr:cNvPr id="103" name="TextBox 102">
          <a:extLst>
            <a:ext uri="{FF2B5EF4-FFF2-40B4-BE49-F238E27FC236}">
              <a16:creationId xmlns:a16="http://schemas.microsoft.com/office/drawing/2014/main" id="{10F33E4E-8339-468B-9497-5677EF4DD2CE}"/>
            </a:ext>
          </a:extLst>
        </xdr:cNvPr>
        <xdr:cNvSpPr txBox="1"/>
      </xdr:nvSpPr>
      <xdr:spPr>
        <a:xfrm>
          <a:off x="193887" y="3532601"/>
          <a:ext cx="98661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bg1"/>
              </a:solidFill>
            </a:rPr>
            <a:t>Management</a:t>
          </a:r>
        </a:p>
      </xdr:txBody>
    </xdr:sp>
    <xdr:clientData/>
  </xdr:oneCellAnchor>
  <xdr:oneCellAnchor>
    <xdr:from>
      <xdr:col>0</xdr:col>
      <xdr:colOff>193887</xdr:colOff>
      <xdr:row>20</xdr:row>
      <xdr:rowOff>102031</xdr:rowOff>
    </xdr:from>
    <xdr:ext cx="609013" cy="280205"/>
    <xdr:sp macro="" textlink="">
      <xdr:nvSpPr>
        <xdr:cNvPr id="104" name="TextBox 103">
          <a:extLst>
            <a:ext uri="{FF2B5EF4-FFF2-40B4-BE49-F238E27FC236}">
              <a16:creationId xmlns:a16="http://schemas.microsoft.com/office/drawing/2014/main" id="{AEF778B3-E4B4-49B6-BD1A-3B0D9C2CE3CC}"/>
            </a:ext>
          </a:extLst>
        </xdr:cNvPr>
        <xdr:cNvSpPr txBox="1"/>
      </xdr:nvSpPr>
      <xdr:spPr>
        <a:xfrm>
          <a:off x="193887" y="3796576"/>
          <a:ext cx="6090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bg1"/>
              </a:solidFill>
            </a:rPr>
            <a:t>Python</a:t>
          </a:r>
        </a:p>
      </xdr:txBody>
    </xdr:sp>
    <xdr:clientData/>
  </xdr:oneCellAnchor>
  <xdr:oneCellAnchor>
    <xdr:from>
      <xdr:col>2</xdr:col>
      <xdr:colOff>437727</xdr:colOff>
      <xdr:row>14</xdr:row>
      <xdr:rowOff>145103</xdr:rowOff>
    </xdr:from>
    <xdr:ext cx="288669" cy="342851"/>
    <xdr:sp macro="" textlink="'Pivot Tables'!S12">
      <xdr:nvSpPr>
        <xdr:cNvPr id="105" name="TextBox 104">
          <a:extLst>
            <a:ext uri="{FF2B5EF4-FFF2-40B4-BE49-F238E27FC236}">
              <a16:creationId xmlns:a16="http://schemas.microsoft.com/office/drawing/2014/main" id="{A532AC20-00A2-015B-9ACF-707835B931D3}"/>
            </a:ext>
          </a:extLst>
        </xdr:cNvPr>
        <xdr:cNvSpPr txBox="1"/>
      </xdr:nvSpPr>
      <xdr:spPr>
        <a:xfrm>
          <a:off x="1656927" y="2655221"/>
          <a:ext cx="2886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4A300CC-903F-4338-BAC7-D651517F2BBB}" type="TxLink">
            <a:rPr lang="en-US" sz="1600" b="1" i="0" u="none" strike="noStrike" baseline="0">
              <a:solidFill>
                <a:srgbClr val="E5B244"/>
              </a:solidFill>
              <a:latin typeface="Aptos Narrow"/>
            </a:rPr>
            <a:t>4</a:t>
          </a:fld>
          <a:endParaRPr lang="en-IN" sz="1600" b="1" baseline="0">
            <a:solidFill>
              <a:srgbClr val="E5B244"/>
            </a:solidFill>
          </a:endParaRPr>
        </a:p>
      </xdr:txBody>
    </xdr:sp>
    <xdr:clientData/>
  </xdr:oneCellAnchor>
  <xdr:oneCellAnchor>
    <xdr:from>
      <xdr:col>2</xdr:col>
      <xdr:colOff>437727</xdr:colOff>
      <xdr:row>16</xdr:row>
      <xdr:rowOff>39624</xdr:rowOff>
    </xdr:from>
    <xdr:ext cx="288669" cy="342851"/>
    <xdr:sp macro="" textlink="'Pivot Tables'!S13">
      <xdr:nvSpPr>
        <xdr:cNvPr id="106" name="TextBox 105">
          <a:extLst>
            <a:ext uri="{FF2B5EF4-FFF2-40B4-BE49-F238E27FC236}">
              <a16:creationId xmlns:a16="http://schemas.microsoft.com/office/drawing/2014/main" id="{1F6BE017-1789-A0C4-A384-B02DD97DDDAE}"/>
            </a:ext>
          </a:extLst>
        </xdr:cNvPr>
        <xdr:cNvSpPr txBox="1"/>
      </xdr:nvSpPr>
      <xdr:spPr>
        <a:xfrm>
          <a:off x="1656927" y="2908330"/>
          <a:ext cx="2886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3395AB0-3921-43A1-BDE7-EFA0BF711171}" type="TxLink">
            <a:rPr lang="en-US" sz="1600" b="1" i="0" u="none" strike="noStrike" baseline="0">
              <a:solidFill>
                <a:srgbClr val="E5B244"/>
              </a:solidFill>
              <a:latin typeface="Aptos Narrow"/>
            </a:rPr>
            <a:t>3</a:t>
          </a:fld>
          <a:endParaRPr lang="en-IN" sz="1600" b="1" baseline="0">
            <a:solidFill>
              <a:srgbClr val="E5B244"/>
            </a:solidFill>
          </a:endParaRPr>
        </a:p>
      </xdr:txBody>
    </xdr:sp>
    <xdr:clientData/>
  </xdr:oneCellAnchor>
  <xdr:oneCellAnchor>
    <xdr:from>
      <xdr:col>2</xdr:col>
      <xdr:colOff>509221</xdr:colOff>
      <xdr:row>17</xdr:row>
      <xdr:rowOff>118871</xdr:rowOff>
    </xdr:from>
    <xdr:ext cx="288669" cy="342851"/>
    <xdr:sp macro="" textlink="'Pivot Tables'!S14">
      <xdr:nvSpPr>
        <xdr:cNvPr id="107" name="TextBox 106">
          <a:extLst>
            <a:ext uri="{FF2B5EF4-FFF2-40B4-BE49-F238E27FC236}">
              <a16:creationId xmlns:a16="http://schemas.microsoft.com/office/drawing/2014/main" id="{34813CF3-0AA3-5C17-2833-672964DB2F54}"/>
            </a:ext>
          </a:extLst>
        </xdr:cNvPr>
        <xdr:cNvSpPr txBox="1"/>
      </xdr:nvSpPr>
      <xdr:spPr>
        <a:xfrm>
          <a:off x="1725342" y="3259235"/>
          <a:ext cx="2886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BA5221-4272-4BB0-99A0-98EA736E3166}" type="TxLink">
            <a:rPr lang="en-US" sz="1600" b="1" i="0" u="none" strike="noStrike" baseline="0">
              <a:solidFill>
                <a:srgbClr val="E5B244"/>
              </a:solidFill>
              <a:latin typeface="Aptos Narrow"/>
            </a:rPr>
            <a:t>2</a:t>
          </a:fld>
          <a:endParaRPr lang="en-IN" sz="1600" b="1" baseline="0">
            <a:solidFill>
              <a:srgbClr val="E5B244"/>
            </a:solidFill>
          </a:endParaRPr>
        </a:p>
      </xdr:txBody>
    </xdr:sp>
    <xdr:clientData/>
  </xdr:oneCellAnchor>
  <xdr:oneCellAnchor>
    <xdr:from>
      <xdr:col>2</xdr:col>
      <xdr:colOff>437727</xdr:colOff>
      <xdr:row>19</xdr:row>
      <xdr:rowOff>15240</xdr:rowOff>
    </xdr:from>
    <xdr:ext cx="288669" cy="342851"/>
    <xdr:sp macro="" textlink="'Pivot Tables'!S15">
      <xdr:nvSpPr>
        <xdr:cNvPr id="108" name="TextBox 107">
          <a:extLst>
            <a:ext uri="{FF2B5EF4-FFF2-40B4-BE49-F238E27FC236}">
              <a16:creationId xmlns:a16="http://schemas.microsoft.com/office/drawing/2014/main" id="{E64FDD2C-0390-35A3-A8E6-6455C6FA8CBA}"/>
            </a:ext>
          </a:extLst>
        </xdr:cNvPr>
        <xdr:cNvSpPr txBox="1"/>
      </xdr:nvSpPr>
      <xdr:spPr>
        <a:xfrm>
          <a:off x="1656927" y="3421828"/>
          <a:ext cx="2886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57187F6-2FDB-4080-822E-D0EFA8EF0B8B}" type="TxLink">
            <a:rPr lang="en-US" sz="1600" b="1" i="0" u="none" strike="noStrike" baseline="0">
              <a:solidFill>
                <a:srgbClr val="E5B244"/>
              </a:solidFill>
              <a:latin typeface="Aptos Narrow"/>
            </a:rPr>
            <a:t>2</a:t>
          </a:fld>
          <a:endParaRPr lang="en-IN" sz="1600" b="1" baseline="0">
            <a:solidFill>
              <a:srgbClr val="E5B244"/>
            </a:solidFill>
          </a:endParaRPr>
        </a:p>
      </xdr:txBody>
    </xdr:sp>
    <xdr:clientData/>
  </xdr:oneCellAnchor>
  <xdr:oneCellAnchor>
    <xdr:from>
      <xdr:col>2</xdr:col>
      <xdr:colOff>509221</xdr:colOff>
      <xdr:row>20</xdr:row>
      <xdr:rowOff>94488</xdr:rowOff>
    </xdr:from>
    <xdr:ext cx="288669" cy="342851"/>
    <xdr:sp macro="" textlink="'Pivot Tables'!S16">
      <xdr:nvSpPr>
        <xdr:cNvPr id="109" name="TextBox 108">
          <a:extLst>
            <a:ext uri="{FF2B5EF4-FFF2-40B4-BE49-F238E27FC236}">
              <a16:creationId xmlns:a16="http://schemas.microsoft.com/office/drawing/2014/main" id="{69E8C1D5-8FAD-C737-28DB-44B6EFB222F0}"/>
            </a:ext>
          </a:extLst>
        </xdr:cNvPr>
        <xdr:cNvSpPr txBox="1"/>
      </xdr:nvSpPr>
      <xdr:spPr>
        <a:xfrm>
          <a:off x="1725342" y="3789033"/>
          <a:ext cx="2886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AD76D9C-B1C0-41C0-AA59-4390EBA9A0CA}" type="TxLink">
            <a:rPr lang="en-US" sz="1600" b="1" i="0" u="none" strike="noStrike" baseline="0">
              <a:solidFill>
                <a:srgbClr val="E5B244"/>
              </a:solidFill>
              <a:latin typeface="Aptos Narrow"/>
            </a:rPr>
            <a:t>1</a:t>
          </a:fld>
          <a:endParaRPr lang="en-IN" sz="1600" b="1" baseline="0">
            <a:solidFill>
              <a:srgbClr val="E5B244"/>
            </a:solidFill>
          </a:endParaRPr>
        </a:p>
      </xdr:txBody>
    </xdr:sp>
    <xdr:clientData/>
  </xdr:oneCellAnchor>
  <xdr:oneCellAnchor>
    <xdr:from>
      <xdr:col>0</xdr:col>
      <xdr:colOff>180455</xdr:colOff>
      <xdr:row>11</xdr:row>
      <xdr:rowOff>121920</xdr:rowOff>
    </xdr:from>
    <xdr:ext cx="1134798" cy="593368"/>
    <xdr:sp macro="" textlink="">
      <xdr:nvSpPr>
        <xdr:cNvPr id="112" name="TextBox 111">
          <a:extLst>
            <a:ext uri="{FF2B5EF4-FFF2-40B4-BE49-F238E27FC236}">
              <a16:creationId xmlns:a16="http://schemas.microsoft.com/office/drawing/2014/main" id="{37AB976B-4C78-B36A-F4F4-744F174B5591}"/>
            </a:ext>
          </a:extLst>
        </xdr:cNvPr>
        <xdr:cNvSpPr txBox="1"/>
      </xdr:nvSpPr>
      <xdr:spPr>
        <a:xfrm>
          <a:off x="180455" y="2153920"/>
          <a:ext cx="1134798"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baseline="0">
              <a:solidFill>
                <a:srgbClr val="E5B244"/>
              </a:solidFill>
            </a:rPr>
            <a:t>Skills</a:t>
          </a:r>
        </a:p>
        <a:p>
          <a:r>
            <a:rPr lang="en-IN" sz="1600" b="1" baseline="0">
              <a:solidFill>
                <a:srgbClr val="E5B244"/>
              </a:solidFill>
            </a:rPr>
            <a:t>Breakdown</a:t>
          </a:r>
        </a:p>
      </xdr:txBody>
    </xdr:sp>
    <xdr:clientData/>
  </xdr:oneCellAnchor>
  <xdr:twoCellAnchor editAs="oneCell">
    <xdr:from>
      <xdr:col>0</xdr:col>
      <xdr:colOff>220980</xdr:colOff>
      <xdr:row>4</xdr:row>
      <xdr:rowOff>45720</xdr:rowOff>
    </xdr:from>
    <xdr:to>
      <xdr:col>3</xdr:col>
      <xdr:colOff>205740</xdr:colOff>
      <xdr:row>14</xdr:row>
      <xdr:rowOff>30480</xdr:rowOff>
    </xdr:to>
    <xdr:pic>
      <xdr:nvPicPr>
        <xdr:cNvPr id="116" name="Picture 115">
          <a:extLst>
            <a:ext uri="{FF2B5EF4-FFF2-40B4-BE49-F238E27FC236}">
              <a16:creationId xmlns:a16="http://schemas.microsoft.com/office/drawing/2014/main" id="{51D87523-1101-7CA6-29EA-31EB4E0E2D34}"/>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backgroundMark x1="29688" y1="89648" x2="75000" y2="89551"/>
                      <a14:backgroundMark x1="75000" y1="89551" x2="97363" y2="46875"/>
                      <a14:backgroundMark x1="97363" y1="46875" x2="73242" y2="14258"/>
                      <a14:backgroundMark x1="73242" y1="14258" x2="33301" y2="8496"/>
                      <a14:backgroundMark x1="33301" y1="8496" x2="5664" y2="34668"/>
                      <a14:backgroundMark x1="5664" y1="34668" x2="12109" y2="75684"/>
                      <a14:backgroundMark x1="12109" y1="75684" x2="30957" y2="93359"/>
                      <a14:backgroundMark x1="1172" y1="25488" x2="71680" y2="17969"/>
                      <a14:backgroundMark x1="71680" y1="17969" x2="98828" y2="20020"/>
                    </a14:backgroundRemoval>
                  </a14:imgEffect>
                </a14:imgLayer>
              </a14:imgProps>
            </a:ext>
            <a:ext uri="{28A0092B-C50C-407E-A947-70E740481C1C}">
              <a14:useLocalDpi xmlns:a14="http://schemas.microsoft.com/office/drawing/2010/main" val="0"/>
            </a:ext>
          </a:extLst>
        </a:blip>
        <a:stretch>
          <a:fillRect/>
        </a:stretch>
      </xdr:blipFill>
      <xdr:spPr>
        <a:xfrm>
          <a:off x="220980" y="784629"/>
          <a:ext cx="1808942" cy="1832033"/>
        </a:xfrm>
        <a:prstGeom prst="rect">
          <a:avLst/>
        </a:prstGeom>
      </xdr:spPr>
    </xdr:pic>
    <xdr:clientData/>
  </xdr:twoCellAnchor>
  <xdr:twoCellAnchor>
    <xdr:from>
      <xdr:col>1</xdr:col>
      <xdr:colOff>439079</xdr:colOff>
      <xdr:row>6</xdr:row>
      <xdr:rowOff>120805</xdr:rowOff>
    </xdr:from>
    <xdr:to>
      <xdr:col>1</xdr:col>
      <xdr:colOff>606348</xdr:colOff>
      <xdr:row>7</xdr:row>
      <xdr:rowOff>99897</xdr:rowOff>
    </xdr:to>
    <xdr:sp macro="" textlink="">
      <xdr:nvSpPr>
        <xdr:cNvPr id="117" name="Flowchart: Connector 116">
          <a:extLst>
            <a:ext uri="{FF2B5EF4-FFF2-40B4-BE49-F238E27FC236}">
              <a16:creationId xmlns:a16="http://schemas.microsoft.com/office/drawing/2014/main" id="{3F636121-2C72-1F50-9BC6-1FEF0E871A35}"/>
            </a:ext>
          </a:extLst>
        </xdr:cNvPr>
        <xdr:cNvSpPr/>
      </xdr:nvSpPr>
      <xdr:spPr>
        <a:xfrm>
          <a:off x="1047750" y="1221988"/>
          <a:ext cx="167269" cy="162622"/>
        </a:xfrm>
        <a:prstGeom prst="flowChartConnecto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160299</xdr:colOff>
      <xdr:row>8</xdr:row>
      <xdr:rowOff>39494</xdr:rowOff>
    </xdr:from>
    <xdr:to>
      <xdr:col>2</xdr:col>
      <xdr:colOff>327568</xdr:colOff>
      <xdr:row>9</xdr:row>
      <xdr:rowOff>18586</xdr:rowOff>
    </xdr:to>
    <xdr:sp macro="" textlink="">
      <xdr:nvSpPr>
        <xdr:cNvPr id="118" name="Flowchart: Connector 117">
          <a:extLst>
            <a:ext uri="{FF2B5EF4-FFF2-40B4-BE49-F238E27FC236}">
              <a16:creationId xmlns:a16="http://schemas.microsoft.com/office/drawing/2014/main" id="{F358D397-37AE-E563-BA24-341900DAAD7F}"/>
            </a:ext>
          </a:extLst>
        </xdr:cNvPr>
        <xdr:cNvSpPr/>
      </xdr:nvSpPr>
      <xdr:spPr>
        <a:xfrm>
          <a:off x="1377640" y="1507738"/>
          <a:ext cx="167269" cy="162622"/>
        </a:xfrm>
        <a:prstGeom prst="flowChartConnecto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104543</xdr:colOff>
      <xdr:row>8</xdr:row>
      <xdr:rowOff>37171</xdr:rowOff>
    </xdr:from>
    <xdr:to>
      <xdr:col>1</xdr:col>
      <xdr:colOff>271812</xdr:colOff>
      <xdr:row>9</xdr:row>
      <xdr:rowOff>16263</xdr:rowOff>
    </xdr:to>
    <xdr:sp macro="" textlink="">
      <xdr:nvSpPr>
        <xdr:cNvPr id="119" name="Flowchart: Connector 118">
          <a:extLst>
            <a:ext uri="{FF2B5EF4-FFF2-40B4-BE49-F238E27FC236}">
              <a16:creationId xmlns:a16="http://schemas.microsoft.com/office/drawing/2014/main" id="{9DD753B8-6009-9AEE-8D60-26F6558411F5}"/>
            </a:ext>
          </a:extLst>
        </xdr:cNvPr>
        <xdr:cNvSpPr/>
      </xdr:nvSpPr>
      <xdr:spPr>
        <a:xfrm>
          <a:off x="713214" y="1505415"/>
          <a:ext cx="167269" cy="162622"/>
        </a:xfrm>
        <a:prstGeom prst="flowChartConnecto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514915</xdr:colOff>
      <xdr:row>8</xdr:row>
      <xdr:rowOff>11438</xdr:rowOff>
    </xdr:from>
    <xdr:ext cx="704680" cy="718530"/>
    <xdr:sp macro="" textlink="'Pivot Tables'!K23">
      <xdr:nvSpPr>
        <xdr:cNvPr id="123" name="TextBox 122">
          <a:extLst>
            <a:ext uri="{FF2B5EF4-FFF2-40B4-BE49-F238E27FC236}">
              <a16:creationId xmlns:a16="http://schemas.microsoft.com/office/drawing/2014/main" id="{21B9E3F3-733B-9616-34C9-164407A60F61}"/>
            </a:ext>
          </a:extLst>
        </xdr:cNvPr>
        <xdr:cNvSpPr txBox="1"/>
      </xdr:nvSpPr>
      <xdr:spPr>
        <a:xfrm>
          <a:off x="2343715" y="1445791"/>
          <a:ext cx="70468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566192-C76D-4386-A37D-54640171D262}" type="TxLink">
            <a:rPr lang="en-US" sz="4000" b="1" i="0" u="none" strike="noStrike" baseline="0">
              <a:solidFill>
                <a:schemeClr val="bg1"/>
              </a:solidFill>
              <a:latin typeface="Aptos Narrow"/>
            </a:rPr>
            <a:t>12</a:t>
          </a:fld>
          <a:endParaRPr lang="en-IN" sz="4000" b="1" baseline="0">
            <a:solidFill>
              <a:schemeClr val="bg1"/>
            </a:solidFill>
          </a:endParaRPr>
        </a:p>
      </xdr:txBody>
    </xdr:sp>
    <xdr:clientData/>
  </xdr:oneCellAnchor>
  <xdr:oneCellAnchor>
    <xdr:from>
      <xdr:col>3</xdr:col>
      <xdr:colOff>514915</xdr:colOff>
      <xdr:row>11</xdr:row>
      <xdr:rowOff>13972</xdr:rowOff>
    </xdr:from>
    <xdr:ext cx="1358321" cy="311496"/>
    <xdr:sp macro="" textlink="">
      <xdr:nvSpPr>
        <xdr:cNvPr id="124" name="TextBox 123">
          <a:extLst>
            <a:ext uri="{FF2B5EF4-FFF2-40B4-BE49-F238E27FC236}">
              <a16:creationId xmlns:a16="http://schemas.microsoft.com/office/drawing/2014/main" id="{6AAAB192-E919-F901-2D2C-70ACC033D5B3}"/>
            </a:ext>
          </a:extLst>
        </xdr:cNvPr>
        <xdr:cNvSpPr txBox="1"/>
      </xdr:nvSpPr>
      <xdr:spPr>
        <a:xfrm>
          <a:off x="2343715" y="1986207"/>
          <a:ext cx="135832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baseline="0">
              <a:solidFill>
                <a:schemeClr val="bg1"/>
              </a:solidFill>
            </a:rPr>
            <a:t>Total Employees</a:t>
          </a:r>
        </a:p>
      </xdr:txBody>
    </xdr:sp>
    <xdr:clientData/>
  </xdr:oneCellAnchor>
  <xdr:oneCellAnchor>
    <xdr:from>
      <xdr:col>3</xdr:col>
      <xdr:colOff>514915</xdr:colOff>
      <xdr:row>6</xdr:row>
      <xdr:rowOff>149710</xdr:rowOff>
    </xdr:from>
    <xdr:ext cx="1636025" cy="311496"/>
    <xdr:sp macro="" textlink="">
      <xdr:nvSpPr>
        <xdr:cNvPr id="125" name="TextBox 124">
          <a:extLst>
            <a:ext uri="{FF2B5EF4-FFF2-40B4-BE49-F238E27FC236}">
              <a16:creationId xmlns:a16="http://schemas.microsoft.com/office/drawing/2014/main" id="{872FD651-22B4-6CA7-38E6-941C2DB626D4}"/>
            </a:ext>
          </a:extLst>
        </xdr:cNvPr>
        <xdr:cNvSpPr txBox="1"/>
      </xdr:nvSpPr>
      <xdr:spPr>
        <a:xfrm>
          <a:off x="2343715" y="1225475"/>
          <a:ext cx="16360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baseline="0">
              <a:solidFill>
                <a:srgbClr val="E5B244"/>
              </a:solidFill>
            </a:rPr>
            <a:t>Employees Number</a:t>
          </a:r>
        </a:p>
      </xdr:txBody>
    </xdr:sp>
    <xdr:clientData/>
  </xdr:oneCellAnchor>
  <xdr:twoCellAnchor editAs="oneCell">
    <xdr:from>
      <xdr:col>5</xdr:col>
      <xdr:colOff>457201</xdr:colOff>
      <xdr:row>6</xdr:row>
      <xdr:rowOff>0</xdr:rowOff>
    </xdr:from>
    <xdr:to>
      <xdr:col>8</xdr:col>
      <xdr:colOff>26894</xdr:colOff>
      <xdr:row>13</xdr:row>
      <xdr:rowOff>143434</xdr:rowOff>
    </xdr:to>
    <xdr:pic>
      <xdr:nvPicPr>
        <xdr:cNvPr id="127" name="Picture 126">
          <a:extLst>
            <a:ext uri="{FF2B5EF4-FFF2-40B4-BE49-F238E27FC236}">
              <a16:creationId xmlns:a16="http://schemas.microsoft.com/office/drawing/2014/main" id="{0DC9A4BD-1419-936B-E6DD-BE9C71A54521}"/>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3505201" y="1075765"/>
          <a:ext cx="1398493" cy="1398493"/>
        </a:xfrm>
        <a:prstGeom prst="rect">
          <a:avLst/>
        </a:prstGeom>
      </xdr:spPr>
    </xdr:pic>
    <xdr:clientData/>
  </xdr:twoCellAnchor>
  <xdr:twoCellAnchor>
    <xdr:from>
      <xdr:col>5</xdr:col>
      <xdr:colOff>502026</xdr:colOff>
      <xdr:row>13</xdr:row>
      <xdr:rowOff>170329</xdr:rowOff>
    </xdr:from>
    <xdr:to>
      <xdr:col>7</xdr:col>
      <xdr:colOff>322729</xdr:colOff>
      <xdr:row>19</xdr:row>
      <xdr:rowOff>170328</xdr:rowOff>
    </xdr:to>
    <xdr:graphicFrame macro="">
      <xdr:nvGraphicFramePr>
        <xdr:cNvPr id="128" name="Chart 127">
          <a:extLst>
            <a:ext uri="{FF2B5EF4-FFF2-40B4-BE49-F238E27FC236}">
              <a16:creationId xmlns:a16="http://schemas.microsoft.com/office/drawing/2014/main" id="{5943F9BA-2DC4-477A-8D8B-0A3564B56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457201</xdr:colOff>
      <xdr:row>14</xdr:row>
      <xdr:rowOff>17928</xdr:rowOff>
    </xdr:from>
    <xdr:to>
      <xdr:col>5</xdr:col>
      <xdr:colOff>394447</xdr:colOff>
      <xdr:row>19</xdr:row>
      <xdr:rowOff>134469</xdr:rowOff>
    </xdr:to>
    <xdr:graphicFrame macro="">
      <xdr:nvGraphicFramePr>
        <xdr:cNvPr id="129" name="Chart 128">
          <a:extLst>
            <a:ext uri="{FF2B5EF4-FFF2-40B4-BE49-F238E27FC236}">
              <a16:creationId xmlns:a16="http://schemas.microsoft.com/office/drawing/2014/main" id="{DA533EBB-1F17-462C-ADE3-465FEE50E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4</xdr:col>
      <xdr:colOff>86509</xdr:colOff>
      <xdr:row>13</xdr:row>
      <xdr:rowOff>6274</xdr:rowOff>
    </xdr:from>
    <xdr:ext cx="980291" cy="342851"/>
    <xdr:sp macro="" textlink="">
      <xdr:nvSpPr>
        <xdr:cNvPr id="130" name="TextBox 129">
          <a:extLst>
            <a:ext uri="{FF2B5EF4-FFF2-40B4-BE49-F238E27FC236}">
              <a16:creationId xmlns:a16="http://schemas.microsoft.com/office/drawing/2014/main" id="{76FB7136-81AE-7070-852E-E31C4F037002}"/>
            </a:ext>
          </a:extLst>
        </xdr:cNvPr>
        <xdr:cNvSpPr txBox="1"/>
      </xdr:nvSpPr>
      <xdr:spPr>
        <a:xfrm>
          <a:off x="2524909" y="2337098"/>
          <a:ext cx="98029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baseline="0">
              <a:solidFill>
                <a:srgbClr val="E5B244"/>
              </a:solidFill>
            </a:rPr>
            <a:t>Male</a:t>
          </a:r>
        </a:p>
      </xdr:txBody>
    </xdr:sp>
    <xdr:clientData/>
  </xdr:oneCellAnchor>
  <xdr:oneCellAnchor>
    <xdr:from>
      <xdr:col>6</xdr:col>
      <xdr:colOff>68579</xdr:colOff>
      <xdr:row>13</xdr:row>
      <xdr:rowOff>15240</xdr:rowOff>
    </xdr:from>
    <xdr:ext cx="814390" cy="342851"/>
    <xdr:sp macro="" textlink="">
      <xdr:nvSpPr>
        <xdr:cNvPr id="131" name="TextBox 130">
          <a:extLst>
            <a:ext uri="{FF2B5EF4-FFF2-40B4-BE49-F238E27FC236}">
              <a16:creationId xmlns:a16="http://schemas.microsoft.com/office/drawing/2014/main" id="{680E613B-7DA0-ECF8-AC7E-2BF930A762A3}"/>
            </a:ext>
          </a:extLst>
        </xdr:cNvPr>
        <xdr:cNvSpPr txBox="1"/>
      </xdr:nvSpPr>
      <xdr:spPr>
        <a:xfrm>
          <a:off x="3726179" y="2346064"/>
          <a:ext cx="8143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baseline="0">
              <a:solidFill>
                <a:srgbClr val="E5B244"/>
              </a:solidFill>
            </a:rPr>
            <a:t>Female</a:t>
          </a:r>
        </a:p>
      </xdr:txBody>
    </xdr:sp>
    <xdr:clientData/>
  </xdr:oneCellAnchor>
  <xdr:oneCellAnchor>
    <xdr:from>
      <xdr:col>4</xdr:col>
      <xdr:colOff>192190</xdr:colOff>
      <xdr:row>16</xdr:row>
      <xdr:rowOff>16461</xdr:rowOff>
    </xdr:from>
    <xdr:ext cx="501740" cy="311496"/>
    <xdr:sp macro="" textlink="'Pivot Tables'!M20">
      <xdr:nvSpPr>
        <xdr:cNvPr id="132" name="TextBox 131">
          <a:extLst>
            <a:ext uri="{FF2B5EF4-FFF2-40B4-BE49-F238E27FC236}">
              <a16:creationId xmlns:a16="http://schemas.microsoft.com/office/drawing/2014/main" id="{3FDD6AD3-55A4-7FE8-0582-9C11080FA058}"/>
            </a:ext>
          </a:extLst>
        </xdr:cNvPr>
        <xdr:cNvSpPr txBox="1"/>
      </xdr:nvSpPr>
      <xdr:spPr>
        <a:xfrm>
          <a:off x="2630590" y="2885167"/>
          <a:ext cx="501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70E2D7F-FCDF-434F-9676-9C58811EAB5D}" type="TxLink">
            <a:rPr lang="en-US" sz="1400" b="1" i="0" u="none" strike="noStrike" baseline="0">
              <a:solidFill>
                <a:schemeClr val="bg1"/>
              </a:solidFill>
              <a:latin typeface="Aptos Narrow"/>
            </a:rPr>
            <a:t>50%</a:t>
          </a:fld>
          <a:endParaRPr lang="en-IN" sz="4800" b="1" baseline="0">
            <a:solidFill>
              <a:schemeClr val="bg1"/>
            </a:solidFill>
          </a:endParaRPr>
        </a:p>
      </xdr:txBody>
    </xdr:sp>
    <xdr:clientData/>
  </xdr:oneCellAnchor>
  <xdr:oneCellAnchor>
    <xdr:from>
      <xdr:col>6</xdr:col>
      <xdr:colOff>156330</xdr:colOff>
      <xdr:row>16</xdr:row>
      <xdr:rowOff>16461</xdr:rowOff>
    </xdr:from>
    <xdr:ext cx="501740" cy="311496"/>
    <xdr:sp macro="" textlink="'Pivot Tables'!M21">
      <xdr:nvSpPr>
        <xdr:cNvPr id="133" name="TextBox 132">
          <a:extLst>
            <a:ext uri="{FF2B5EF4-FFF2-40B4-BE49-F238E27FC236}">
              <a16:creationId xmlns:a16="http://schemas.microsoft.com/office/drawing/2014/main" id="{CC9DE473-EE23-429C-E756-8A54D9567343}"/>
            </a:ext>
          </a:extLst>
        </xdr:cNvPr>
        <xdr:cNvSpPr txBox="1"/>
      </xdr:nvSpPr>
      <xdr:spPr>
        <a:xfrm>
          <a:off x="3813930" y="2885167"/>
          <a:ext cx="501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9FC3039-0D1D-4678-84F9-7C63E7423897}" type="TxLink">
            <a:rPr lang="en-US" sz="1400" b="1" i="0" u="none" strike="noStrike" baseline="0">
              <a:solidFill>
                <a:schemeClr val="bg1"/>
              </a:solidFill>
              <a:latin typeface="Aptos Narrow"/>
            </a:rPr>
            <a:t>50%</a:t>
          </a:fld>
          <a:endParaRPr lang="en-IN" sz="4800" b="1" baseline="0">
            <a:solidFill>
              <a:schemeClr val="bg1"/>
            </a:solidFill>
          </a:endParaRPr>
        </a:p>
      </xdr:txBody>
    </xdr:sp>
    <xdr:clientData/>
  </xdr:oneCellAnchor>
  <xdr:twoCellAnchor>
    <xdr:from>
      <xdr:col>7</xdr:col>
      <xdr:colOff>573742</xdr:colOff>
      <xdr:row>8</xdr:row>
      <xdr:rowOff>89648</xdr:rowOff>
    </xdr:from>
    <xdr:to>
      <xdr:col>12</xdr:col>
      <xdr:colOff>35859</xdr:colOff>
      <xdr:row>18</xdr:row>
      <xdr:rowOff>161365</xdr:rowOff>
    </xdr:to>
    <xdr:graphicFrame macro="">
      <xdr:nvGraphicFramePr>
        <xdr:cNvPr id="134" name="Chart 133">
          <a:extLst>
            <a:ext uri="{FF2B5EF4-FFF2-40B4-BE49-F238E27FC236}">
              <a16:creationId xmlns:a16="http://schemas.microsoft.com/office/drawing/2014/main" id="{7AC49CAC-8979-4585-B485-22C8C6F1C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7</xdr:col>
      <xdr:colOff>606462</xdr:colOff>
      <xdr:row>6</xdr:row>
      <xdr:rowOff>69028</xdr:rowOff>
    </xdr:from>
    <xdr:ext cx="1279453" cy="311496"/>
    <xdr:sp macro="" textlink="">
      <xdr:nvSpPr>
        <xdr:cNvPr id="135" name="TextBox 134">
          <a:extLst>
            <a:ext uri="{FF2B5EF4-FFF2-40B4-BE49-F238E27FC236}">
              <a16:creationId xmlns:a16="http://schemas.microsoft.com/office/drawing/2014/main" id="{58E08E45-FDA4-87CF-1C7F-CE6FAD3E8E53}"/>
            </a:ext>
          </a:extLst>
        </xdr:cNvPr>
        <xdr:cNvSpPr txBox="1"/>
      </xdr:nvSpPr>
      <xdr:spPr>
        <a:xfrm>
          <a:off x="4873662" y="1144793"/>
          <a:ext cx="12794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baseline="0">
              <a:solidFill>
                <a:srgbClr val="E5B244"/>
              </a:solidFill>
            </a:rPr>
            <a:t>Leave Tracking</a:t>
          </a:r>
        </a:p>
      </xdr:txBody>
    </xdr:sp>
    <xdr:clientData/>
  </xdr:oneCellAnchor>
  <xdr:oneCellAnchor>
    <xdr:from>
      <xdr:col>7</xdr:col>
      <xdr:colOff>597498</xdr:colOff>
      <xdr:row>7</xdr:row>
      <xdr:rowOff>110265</xdr:rowOff>
    </xdr:from>
    <xdr:ext cx="1500988" cy="248851"/>
    <xdr:sp macro="" textlink="">
      <xdr:nvSpPr>
        <xdr:cNvPr id="136" name="TextBox 135">
          <a:extLst>
            <a:ext uri="{FF2B5EF4-FFF2-40B4-BE49-F238E27FC236}">
              <a16:creationId xmlns:a16="http://schemas.microsoft.com/office/drawing/2014/main" id="{B0E83ADF-C1B4-BA78-394F-755EB84CDA38}"/>
            </a:ext>
          </a:extLst>
        </xdr:cNvPr>
        <xdr:cNvSpPr txBox="1"/>
      </xdr:nvSpPr>
      <xdr:spPr>
        <a:xfrm>
          <a:off x="4864698" y="1365324"/>
          <a:ext cx="150098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tx1">
                  <a:lumMod val="50000"/>
                  <a:lumOff val="50000"/>
                </a:schemeClr>
              </a:solidFill>
            </a:rPr>
            <a:t>Leave taken  by Job Titles</a:t>
          </a:r>
        </a:p>
      </xdr:txBody>
    </xdr:sp>
    <xdr:clientData/>
  </xdr:oneCellAnchor>
  <xdr:twoCellAnchor>
    <xdr:from>
      <xdr:col>12</xdr:col>
      <xdr:colOff>439270</xdr:colOff>
      <xdr:row>11</xdr:row>
      <xdr:rowOff>125506</xdr:rowOff>
    </xdr:from>
    <xdr:to>
      <xdr:col>16</xdr:col>
      <xdr:colOff>331694</xdr:colOff>
      <xdr:row>18</xdr:row>
      <xdr:rowOff>44823</xdr:rowOff>
    </xdr:to>
    <xdr:graphicFrame macro="">
      <xdr:nvGraphicFramePr>
        <xdr:cNvPr id="137" name="Chart 136">
          <a:extLst>
            <a:ext uri="{FF2B5EF4-FFF2-40B4-BE49-F238E27FC236}">
              <a16:creationId xmlns:a16="http://schemas.microsoft.com/office/drawing/2014/main" id="{F121BAFE-2E33-4691-8AAC-4F44A6681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12</xdr:col>
      <xdr:colOff>400273</xdr:colOff>
      <xdr:row>9</xdr:row>
      <xdr:rowOff>51099</xdr:rowOff>
    </xdr:from>
    <xdr:ext cx="1028358" cy="405432"/>
    <xdr:sp macro="" textlink="">
      <xdr:nvSpPr>
        <xdr:cNvPr id="138" name="TextBox 137">
          <a:extLst>
            <a:ext uri="{FF2B5EF4-FFF2-40B4-BE49-F238E27FC236}">
              <a16:creationId xmlns:a16="http://schemas.microsoft.com/office/drawing/2014/main" id="{4140BCCC-755A-216E-391A-D0A654326FA8}"/>
            </a:ext>
          </a:extLst>
        </xdr:cNvPr>
        <xdr:cNvSpPr txBox="1"/>
      </xdr:nvSpPr>
      <xdr:spPr>
        <a:xfrm>
          <a:off x="7715473" y="1664746"/>
          <a:ext cx="102835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baseline="0">
              <a:solidFill>
                <a:srgbClr val="E5B244"/>
              </a:solidFill>
            </a:rPr>
            <a:t>Regions</a:t>
          </a:r>
        </a:p>
      </xdr:txBody>
    </xdr:sp>
    <xdr:clientData/>
  </xdr:oneCellAnchor>
  <xdr:oneCellAnchor>
    <xdr:from>
      <xdr:col>12</xdr:col>
      <xdr:colOff>400273</xdr:colOff>
      <xdr:row>10</xdr:row>
      <xdr:rowOff>173019</xdr:rowOff>
    </xdr:from>
    <xdr:ext cx="1470211" cy="248851"/>
    <xdr:sp macro="" textlink="">
      <xdr:nvSpPr>
        <xdr:cNvPr id="139" name="TextBox 138">
          <a:extLst>
            <a:ext uri="{FF2B5EF4-FFF2-40B4-BE49-F238E27FC236}">
              <a16:creationId xmlns:a16="http://schemas.microsoft.com/office/drawing/2014/main" id="{8E2BC93C-DBFD-EEFF-251F-A43ACD7AB1B2}"/>
            </a:ext>
          </a:extLst>
        </xdr:cNvPr>
        <xdr:cNvSpPr txBox="1"/>
      </xdr:nvSpPr>
      <xdr:spPr>
        <a:xfrm>
          <a:off x="7715473" y="1965960"/>
          <a:ext cx="147021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tx1">
                  <a:lumMod val="50000"/>
                  <a:lumOff val="50000"/>
                </a:schemeClr>
              </a:solidFill>
            </a:rPr>
            <a:t>Employees as per region</a:t>
          </a:r>
        </a:p>
      </xdr:txBody>
    </xdr:sp>
    <xdr:clientData/>
  </xdr:oneCellAnchor>
  <xdr:oneCellAnchor>
    <xdr:from>
      <xdr:col>12</xdr:col>
      <xdr:colOff>452163</xdr:colOff>
      <xdr:row>4</xdr:row>
      <xdr:rowOff>11438</xdr:rowOff>
    </xdr:from>
    <xdr:ext cx="838178" cy="718530"/>
    <xdr:sp macro="" textlink="'Pivot Tables'!H33">
      <xdr:nvSpPr>
        <xdr:cNvPr id="140" name="TextBox 139">
          <a:extLst>
            <a:ext uri="{FF2B5EF4-FFF2-40B4-BE49-F238E27FC236}">
              <a16:creationId xmlns:a16="http://schemas.microsoft.com/office/drawing/2014/main" id="{78883AE5-A7B6-6E9A-5D2F-5F395F0C7220}"/>
            </a:ext>
          </a:extLst>
        </xdr:cNvPr>
        <xdr:cNvSpPr txBox="1"/>
      </xdr:nvSpPr>
      <xdr:spPr>
        <a:xfrm>
          <a:off x="7767363" y="728614"/>
          <a:ext cx="838178"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1532260-80EC-4DBB-AF83-6EA9AA360BCC}" type="TxLink">
            <a:rPr lang="en-US" sz="4000" b="1" i="0" u="none" strike="noStrike" baseline="0">
              <a:solidFill>
                <a:schemeClr val="bg1"/>
              </a:solidFill>
              <a:latin typeface="Aptos Narrow"/>
            </a:rPr>
            <a:t>2.6</a:t>
          </a:fld>
          <a:endParaRPr lang="en-IN" sz="4000" b="1" baseline="0">
            <a:solidFill>
              <a:schemeClr val="bg1"/>
            </a:solidFill>
          </a:endParaRPr>
        </a:p>
      </xdr:txBody>
    </xdr:sp>
    <xdr:clientData/>
  </xdr:oneCellAnchor>
  <xdr:oneCellAnchor>
    <xdr:from>
      <xdr:col>12</xdr:col>
      <xdr:colOff>452163</xdr:colOff>
      <xdr:row>7</xdr:row>
      <xdr:rowOff>13971</xdr:rowOff>
    </xdr:from>
    <xdr:ext cx="1484213" cy="311496"/>
    <xdr:sp macro="" textlink="">
      <xdr:nvSpPr>
        <xdr:cNvPr id="141" name="TextBox 140">
          <a:extLst>
            <a:ext uri="{FF2B5EF4-FFF2-40B4-BE49-F238E27FC236}">
              <a16:creationId xmlns:a16="http://schemas.microsoft.com/office/drawing/2014/main" id="{8309F15B-DCA6-7FFE-3903-9D8508326BDF}"/>
            </a:ext>
          </a:extLst>
        </xdr:cNvPr>
        <xdr:cNvSpPr txBox="1"/>
      </xdr:nvSpPr>
      <xdr:spPr>
        <a:xfrm>
          <a:off x="7767363" y="1269030"/>
          <a:ext cx="148421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baseline="0">
              <a:solidFill>
                <a:schemeClr val="bg1"/>
              </a:solidFill>
            </a:rPr>
            <a:t>Average Rating</a:t>
          </a:r>
        </a:p>
      </xdr:txBody>
    </xdr:sp>
    <xdr:clientData/>
  </xdr:oneCellAnchor>
  <xdr:oneCellAnchor>
    <xdr:from>
      <xdr:col>12</xdr:col>
      <xdr:colOff>418203</xdr:colOff>
      <xdr:row>1</xdr:row>
      <xdr:rowOff>77993</xdr:rowOff>
    </xdr:from>
    <xdr:ext cx="1863395" cy="342851"/>
    <xdr:sp macro="" textlink="">
      <xdr:nvSpPr>
        <xdr:cNvPr id="142" name="TextBox 141">
          <a:extLst>
            <a:ext uri="{FF2B5EF4-FFF2-40B4-BE49-F238E27FC236}">
              <a16:creationId xmlns:a16="http://schemas.microsoft.com/office/drawing/2014/main" id="{08A1D3DE-F53E-51AB-C2B8-139B20E5DB5F}"/>
            </a:ext>
          </a:extLst>
        </xdr:cNvPr>
        <xdr:cNvSpPr txBox="1"/>
      </xdr:nvSpPr>
      <xdr:spPr>
        <a:xfrm>
          <a:off x="7733403" y="257287"/>
          <a:ext cx="186339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baseline="0">
              <a:solidFill>
                <a:srgbClr val="E5B244"/>
              </a:solidFill>
            </a:rPr>
            <a:t>Performance Rating</a:t>
          </a:r>
        </a:p>
      </xdr:txBody>
    </xdr:sp>
    <xdr:clientData/>
  </xdr:oneCellAnchor>
  <xdr:oneCellAnchor>
    <xdr:from>
      <xdr:col>12</xdr:col>
      <xdr:colOff>418203</xdr:colOff>
      <xdr:row>3</xdr:row>
      <xdr:rowOff>20619</xdr:rowOff>
    </xdr:from>
    <xdr:ext cx="1581780" cy="248851"/>
    <xdr:sp macro="" textlink="">
      <xdr:nvSpPr>
        <xdr:cNvPr id="143" name="TextBox 142">
          <a:extLst>
            <a:ext uri="{FF2B5EF4-FFF2-40B4-BE49-F238E27FC236}">
              <a16:creationId xmlns:a16="http://schemas.microsoft.com/office/drawing/2014/main" id="{FDCA2205-BEAB-9991-5C63-AA1F2BC4873F}"/>
            </a:ext>
          </a:extLst>
        </xdr:cNvPr>
        <xdr:cNvSpPr txBox="1"/>
      </xdr:nvSpPr>
      <xdr:spPr>
        <a:xfrm>
          <a:off x="7733403" y="558501"/>
          <a:ext cx="158178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tx1">
                  <a:lumMod val="50000"/>
                  <a:lumOff val="50000"/>
                </a:schemeClr>
              </a:solidFill>
            </a:rPr>
            <a:t>Average performace rating</a:t>
          </a:r>
        </a:p>
      </xdr:txBody>
    </xdr:sp>
    <xdr:clientData/>
  </xdr:oneCellAnchor>
  <xdr:twoCellAnchor editAs="oneCell">
    <xdr:from>
      <xdr:col>14</xdr:col>
      <xdr:colOff>421341</xdr:colOff>
      <xdr:row>2</xdr:row>
      <xdr:rowOff>17927</xdr:rowOff>
    </xdr:from>
    <xdr:to>
      <xdr:col>17</xdr:col>
      <xdr:colOff>0</xdr:colOff>
      <xdr:row>9</xdr:row>
      <xdr:rowOff>170327</xdr:rowOff>
    </xdr:to>
    <xdr:pic>
      <xdr:nvPicPr>
        <xdr:cNvPr id="145" name="Picture 144">
          <a:extLst>
            <a:ext uri="{FF2B5EF4-FFF2-40B4-BE49-F238E27FC236}">
              <a16:creationId xmlns:a16="http://schemas.microsoft.com/office/drawing/2014/main" id="{7596C93A-6364-B769-47AC-E1B0B4FA7259}"/>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8955741" y="376515"/>
          <a:ext cx="1407459" cy="1407459"/>
        </a:xfrm>
        <a:prstGeom prst="rect">
          <a:avLst/>
        </a:prstGeom>
      </xdr:spPr>
    </xdr:pic>
    <xdr:clientData/>
  </xdr:twoCellAnchor>
  <xdr:twoCellAnchor editAs="oneCell">
    <xdr:from>
      <xdr:col>0</xdr:col>
      <xdr:colOff>161365</xdr:colOff>
      <xdr:row>0</xdr:row>
      <xdr:rowOff>0</xdr:rowOff>
    </xdr:from>
    <xdr:to>
      <xdr:col>1</xdr:col>
      <xdr:colOff>457200</xdr:colOff>
      <xdr:row>7</xdr:row>
      <xdr:rowOff>103094</xdr:rowOff>
    </xdr:to>
    <xdr:pic>
      <xdr:nvPicPr>
        <xdr:cNvPr id="147" name="Picture 146">
          <a:extLst>
            <a:ext uri="{FF2B5EF4-FFF2-40B4-BE49-F238E27FC236}">
              <a16:creationId xmlns:a16="http://schemas.microsoft.com/office/drawing/2014/main" id="{E819251F-AD7E-2A06-46B5-5E9053913E20}"/>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10000" b="90000" l="10000" r="90000">
                      <a14:foregroundMark x1="16309" y1="23568" x2="56152" y2="25260"/>
                      <a14:foregroundMark x1="56152" y1="25260" x2="65430" y2="35612"/>
                      <a14:foregroundMark x1="65430" y1="35612" x2="44629" y2="38477"/>
                      <a14:foregroundMark x1="44629" y1="38477" x2="80273" y2="35352"/>
                      <a14:foregroundMark x1="80273" y1="35352" x2="32031" y2="33789"/>
                      <a14:foregroundMark x1="32031" y1="33789" x2="54102" y2="31510"/>
                      <a14:foregroundMark x1="54102" y1="31510" x2="51660" y2="34245"/>
                      <a14:backgroundMark x1="1953" y1="15365" x2="48047" y2="14388"/>
                      <a14:backgroundMark x1="48047" y1="14388" x2="97070" y2="17578"/>
                      <a14:backgroundMark x1="97070" y1="17578" x2="98047" y2="17318"/>
                      <a14:backgroundMark x1="977" y1="81771" x2="95996" y2="85091"/>
                    </a14:backgroundRemoval>
                  </a14:imgEffect>
                </a14:imgLayer>
              </a14:imgProps>
            </a:ext>
            <a:ext uri="{28A0092B-C50C-407E-A947-70E740481C1C}">
              <a14:useLocalDpi xmlns:a14="http://schemas.microsoft.com/office/drawing/2010/main" val="0"/>
            </a:ext>
          </a:extLst>
        </a:blip>
        <a:stretch>
          <a:fillRect/>
        </a:stretch>
      </xdr:blipFill>
      <xdr:spPr>
        <a:xfrm>
          <a:off x="161365" y="0"/>
          <a:ext cx="905435" cy="1358153"/>
        </a:xfrm>
        <a:prstGeom prst="rect">
          <a:avLst/>
        </a:prstGeom>
      </xdr:spPr>
    </xdr:pic>
    <xdr:clientData/>
  </xdr:twoCellAnchor>
  <xdr:oneCellAnchor>
    <xdr:from>
      <xdr:col>1</xdr:col>
      <xdr:colOff>263904</xdr:colOff>
      <xdr:row>0</xdr:row>
      <xdr:rowOff>15239</xdr:rowOff>
    </xdr:from>
    <xdr:ext cx="748859" cy="655949"/>
    <xdr:sp macro="" textlink="">
      <xdr:nvSpPr>
        <xdr:cNvPr id="148" name="TextBox 147">
          <a:extLst>
            <a:ext uri="{FF2B5EF4-FFF2-40B4-BE49-F238E27FC236}">
              <a16:creationId xmlns:a16="http://schemas.microsoft.com/office/drawing/2014/main" id="{243414EA-F3A0-6662-F432-ECA89DB49C2B}"/>
            </a:ext>
          </a:extLst>
        </xdr:cNvPr>
        <xdr:cNvSpPr txBox="1"/>
      </xdr:nvSpPr>
      <xdr:spPr>
        <a:xfrm>
          <a:off x="873504" y="15239"/>
          <a:ext cx="748859"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600" b="1" baseline="0">
              <a:solidFill>
                <a:srgbClr val="E5B244"/>
              </a:solidFill>
            </a:rPr>
            <a:t>HR</a:t>
          </a:r>
          <a:endParaRPr lang="en-IN" sz="3200" b="1" baseline="0">
            <a:solidFill>
              <a:srgbClr val="E5B244"/>
            </a:solidFill>
          </a:endParaRPr>
        </a:p>
      </xdr:txBody>
    </xdr:sp>
    <xdr:clientData/>
  </xdr:oneCellAnchor>
  <xdr:oneCellAnchor>
    <xdr:from>
      <xdr:col>1</xdr:col>
      <xdr:colOff>371479</xdr:colOff>
      <xdr:row>1</xdr:row>
      <xdr:rowOff>69028</xdr:rowOff>
    </xdr:from>
    <xdr:ext cx="184731" cy="311496"/>
    <xdr:sp macro="" textlink="">
      <xdr:nvSpPr>
        <xdr:cNvPr id="149" name="TextBox 148">
          <a:extLst>
            <a:ext uri="{FF2B5EF4-FFF2-40B4-BE49-F238E27FC236}">
              <a16:creationId xmlns:a16="http://schemas.microsoft.com/office/drawing/2014/main" id="{B1F45474-4498-D7AA-4DFF-6593EBCC3428}"/>
            </a:ext>
          </a:extLst>
        </xdr:cNvPr>
        <xdr:cNvSpPr txBox="1"/>
      </xdr:nvSpPr>
      <xdr:spPr>
        <a:xfrm>
          <a:off x="981079" y="248322"/>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baseline="0">
            <a:solidFill>
              <a:srgbClr val="E5B244"/>
            </a:solidFill>
          </a:endParaRPr>
        </a:p>
      </xdr:txBody>
    </xdr:sp>
    <xdr:clientData/>
  </xdr:oneCellAnchor>
  <xdr:oneCellAnchor>
    <xdr:from>
      <xdr:col>1</xdr:col>
      <xdr:colOff>290798</xdr:colOff>
      <xdr:row>2</xdr:row>
      <xdr:rowOff>113851</xdr:rowOff>
    </xdr:from>
    <xdr:ext cx="1229824" cy="374077"/>
    <xdr:sp macro="" textlink="">
      <xdr:nvSpPr>
        <xdr:cNvPr id="154" name="TextBox 153">
          <a:extLst>
            <a:ext uri="{FF2B5EF4-FFF2-40B4-BE49-F238E27FC236}">
              <a16:creationId xmlns:a16="http://schemas.microsoft.com/office/drawing/2014/main" id="{FF723D9D-DC31-886B-F3F4-A46E058AF3D9}"/>
            </a:ext>
          </a:extLst>
        </xdr:cNvPr>
        <xdr:cNvSpPr txBox="1"/>
      </xdr:nvSpPr>
      <xdr:spPr>
        <a:xfrm>
          <a:off x="900398" y="472439"/>
          <a:ext cx="122982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baseline="0">
              <a:solidFill>
                <a:srgbClr val="E5B244"/>
              </a:solidFill>
            </a:rPr>
            <a:t>Dashboard</a:t>
          </a:r>
        </a:p>
      </xdr:txBody>
    </xdr:sp>
    <xdr:clientData/>
  </xdr:oneCellAnchor>
  <xdr:oneCellAnchor>
    <xdr:from>
      <xdr:col>1</xdr:col>
      <xdr:colOff>281833</xdr:colOff>
      <xdr:row>3</xdr:row>
      <xdr:rowOff>149710</xdr:rowOff>
    </xdr:from>
    <xdr:ext cx="184731" cy="248851"/>
    <xdr:sp macro="" textlink="">
      <xdr:nvSpPr>
        <xdr:cNvPr id="155" name="TextBox 154">
          <a:extLst>
            <a:ext uri="{FF2B5EF4-FFF2-40B4-BE49-F238E27FC236}">
              <a16:creationId xmlns:a16="http://schemas.microsoft.com/office/drawing/2014/main" id="{90D74CAD-AB9A-27AC-90FF-4E42D1C96686}"/>
            </a:ext>
          </a:extLst>
        </xdr:cNvPr>
        <xdr:cNvSpPr txBox="1"/>
      </xdr:nvSpPr>
      <xdr:spPr>
        <a:xfrm>
          <a:off x="891433" y="687592"/>
          <a:ext cx="18473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000" b="1" baseline="0">
            <a:solidFill>
              <a:schemeClr val="tx1">
                <a:lumMod val="50000"/>
                <a:lumOff val="50000"/>
              </a:schemeClr>
            </a:solidFill>
            <a:latin typeface="+mn-lt"/>
            <a:ea typeface="+mn-ea"/>
            <a:cs typeface="+mn-cs"/>
          </a:endParaRPr>
        </a:p>
      </xdr:txBody>
    </xdr:sp>
    <xdr:clientData/>
  </xdr:oneCellAnchor>
  <xdr:oneCellAnchor>
    <xdr:from>
      <xdr:col>1</xdr:col>
      <xdr:colOff>337522</xdr:colOff>
      <xdr:row>4</xdr:row>
      <xdr:rowOff>56477</xdr:rowOff>
    </xdr:from>
    <xdr:ext cx="2287421" cy="248851"/>
    <xdr:sp macro="" textlink="">
      <xdr:nvSpPr>
        <xdr:cNvPr id="156" name="TextBox 155">
          <a:extLst>
            <a:ext uri="{FF2B5EF4-FFF2-40B4-BE49-F238E27FC236}">
              <a16:creationId xmlns:a16="http://schemas.microsoft.com/office/drawing/2014/main" id="{77CF879D-B19A-858F-181D-7641547B4DCE}"/>
            </a:ext>
          </a:extLst>
        </xdr:cNvPr>
        <xdr:cNvSpPr txBox="1"/>
      </xdr:nvSpPr>
      <xdr:spPr>
        <a:xfrm>
          <a:off x="947122" y="773653"/>
          <a:ext cx="228742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tx1">
                  <a:lumMod val="50000"/>
                  <a:lumOff val="50000"/>
                </a:schemeClr>
              </a:solidFill>
            </a:rPr>
            <a:t>Analyze and monitor the HR department</a:t>
          </a:r>
        </a:p>
      </xdr:txBody>
    </xdr:sp>
    <xdr:clientData/>
  </xdr:oneCellAnchor>
  <xdr:twoCellAnchor editAs="oneCell">
    <xdr:from>
      <xdr:col>5</xdr:col>
      <xdr:colOff>26895</xdr:colOff>
      <xdr:row>1</xdr:row>
      <xdr:rowOff>35858</xdr:rowOff>
    </xdr:from>
    <xdr:to>
      <xdr:col>8</xdr:col>
      <xdr:colOff>107577</xdr:colOff>
      <xdr:row>5</xdr:row>
      <xdr:rowOff>8964</xdr:rowOff>
    </xdr:to>
    <mc:AlternateContent xmlns:mc="http://schemas.openxmlformats.org/markup-compatibility/2006">
      <mc:Choice xmlns:a14="http://schemas.microsoft.com/office/drawing/2010/main" Requires="a14">
        <xdr:graphicFrame macro="">
          <xdr:nvGraphicFramePr>
            <xdr:cNvPr id="161" name="Gender">
              <a:extLst>
                <a:ext uri="{FF2B5EF4-FFF2-40B4-BE49-F238E27FC236}">
                  <a16:creationId xmlns:a16="http://schemas.microsoft.com/office/drawing/2014/main" id="{3EBAECE1-A1E2-4159-955C-A66DBFCC3A8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74895" y="215152"/>
              <a:ext cx="1909482" cy="690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53786</xdr:colOff>
      <xdr:row>1</xdr:row>
      <xdr:rowOff>26895</xdr:rowOff>
    </xdr:from>
    <xdr:to>
      <xdr:col>12</xdr:col>
      <xdr:colOff>215151</xdr:colOff>
      <xdr:row>6</xdr:row>
      <xdr:rowOff>71718</xdr:rowOff>
    </xdr:to>
    <mc:AlternateContent xmlns:mc="http://schemas.openxmlformats.org/markup-compatibility/2006">
      <mc:Choice xmlns:a14="http://schemas.microsoft.com/office/drawing/2010/main" Requires="a14">
        <xdr:graphicFrame macro="">
          <xdr:nvGraphicFramePr>
            <xdr:cNvPr id="162" name="Department">
              <a:extLst>
                <a:ext uri="{FF2B5EF4-FFF2-40B4-BE49-F238E27FC236}">
                  <a16:creationId xmlns:a16="http://schemas.microsoft.com/office/drawing/2014/main" id="{E78203FF-3AB4-4A8A-A620-2A1C184274A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930586" y="206189"/>
              <a:ext cx="2599765" cy="941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77544</xdr:colOff>
      <xdr:row>1</xdr:row>
      <xdr:rowOff>6276</xdr:rowOff>
    </xdr:from>
    <xdr:ext cx="1903598" cy="342851"/>
    <xdr:sp macro="" textlink="">
      <xdr:nvSpPr>
        <xdr:cNvPr id="163" name="TextBox 162">
          <a:extLst>
            <a:ext uri="{FF2B5EF4-FFF2-40B4-BE49-F238E27FC236}">
              <a16:creationId xmlns:a16="http://schemas.microsoft.com/office/drawing/2014/main" id="{FCC68B92-144C-CA7D-4F6D-AA015AD187C7}"/>
            </a:ext>
          </a:extLst>
        </xdr:cNvPr>
        <xdr:cNvSpPr txBox="1"/>
      </xdr:nvSpPr>
      <xdr:spPr>
        <a:xfrm>
          <a:off x="4954344" y="185570"/>
          <a:ext cx="190359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baseline="0">
              <a:solidFill>
                <a:schemeClr val="bg1"/>
              </a:solidFill>
            </a:rPr>
            <a:t>Filter by department</a:t>
          </a:r>
        </a:p>
      </xdr:txBody>
    </xdr:sp>
    <xdr:clientData/>
  </xdr:oneCellAnchor>
  <xdr:oneCellAnchor>
    <xdr:from>
      <xdr:col>5</xdr:col>
      <xdr:colOff>23756</xdr:colOff>
      <xdr:row>1</xdr:row>
      <xdr:rowOff>15241</xdr:rowOff>
    </xdr:from>
    <xdr:ext cx="1410598" cy="311496"/>
    <xdr:sp macro="" textlink="">
      <xdr:nvSpPr>
        <xdr:cNvPr id="164" name="TextBox 163">
          <a:extLst>
            <a:ext uri="{FF2B5EF4-FFF2-40B4-BE49-F238E27FC236}">
              <a16:creationId xmlns:a16="http://schemas.microsoft.com/office/drawing/2014/main" id="{D397E0D4-A539-8CA3-C5F1-FD6F7421BB05}"/>
            </a:ext>
          </a:extLst>
        </xdr:cNvPr>
        <xdr:cNvSpPr txBox="1"/>
      </xdr:nvSpPr>
      <xdr:spPr>
        <a:xfrm>
          <a:off x="3071756" y="194535"/>
          <a:ext cx="14105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baseline="0">
              <a:solidFill>
                <a:schemeClr val="bg1"/>
              </a:solidFill>
            </a:rPr>
            <a:t>Filter by gender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Ettam" refreshedDate="46063.552430787036" createdVersion="8" refreshedVersion="8" minRefreshableVersion="3" recordCount="50" xr:uid="{90BEBB68-E53C-4400-9A38-CEAD5BFD2BB3}">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607795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CF4446-AB33-40D6-B40D-46A04B8C8D90}"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1"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h="1" x="1"/>
        <item h="1" x="4"/>
        <item h="1"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2">
    <i>
      <x/>
    </i>
    <i t="grand">
      <x/>
    </i>
  </rowItems>
  <colItems count="1">
    <i/>
  </colItems>
  <dataFields count="1">
    <dataField name="Average of Performance Rating" fld="17" subtotal="average" baseField="7" baseItem="0"/>
  </dataFields>
  <formats count="1">
    <format dxfId="0">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3652ED-CFC1-473C-9F43-7581E763CABF}"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0:C26"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h="1" x="1"/>
        <item h="1" x="4"/>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D1416B-C714-4A50-8C62-D5649AA863E4}" name="Skill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h="1" x="1"/>
        <item h="1" x="4"/>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12D036-849D-4A16-BFA0-625AB8FCD67E}" name="Work plac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h="1" x="1"/>
        <item h="1" x="4"/>
        <item h="1" x="2"/>
        <item h="1"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15A5F2-07E9-4B46-B734-CBFE20338908}" name="Age Rang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M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h="1" x="1"/>
        <item h="1" x="4"/>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3">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3">
          <reference field="4294967294" count="1" selected="0">
            <x v="0"/>
          </reference>
          <reference field="2"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5DB51-EA8B-470C-A43E-DD862947F47A}" name="Salarie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9"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h="1" x="1"/>
        <item h="1" x="4"/>
        <item h="1" x="2"/>
        <item h="1"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
    <format dxfId="1">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D7D3C-07BC-4AD0-94D7-D9BD586DDEB8}" name="Employement Statu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h="1" x="1"/>
        <item h="1" x="4"/>
        <item h="1" x="2"/>
        <item h="1"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B37120-2947-48E2-AFD0-76F4E189D74D}" sourceName="Gender">
  <pivotTables>
    <pivotTable tabId="3" name="Salaries"/>
    <pivotTable tabId="3" name="Age Range"/>
    <pivotTable tabId="3" name="Employement Status"/>
    <pivotTable tabId="3" name="PivotTable13"/>
    <pivotTable tabId="3" name="PivotTable14"/>
    <pivotTable tabId="3" name="Skills"/>
    <pivotTable tabId="3" name="Work place"/>
  </pivotTables>
  <data>
    <tabular pivotCacheId="6077953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AEEE19-D27F-4428-87DD-C9150935648F}" sourceName="Department">
  <pivotTables>
    <pivotTable tabId="3" name="Salaries"/>
    <pivotTable tabId="3" name="Age Range"/>
    <pivotTable tabId="3" name="Employement Status"/>
    <pivotTable tabId="3" name="PivotTable13"/>
    <pivotTable tabId="3" name="PivotTable14"/>
    <pivotTable tabId="3" name="Skills"/>
    <pivotTable tabId="3" name="Work place"/>
  </pivotTables>
  <data>
    <tabular pivotCacheId="607795374">
      <items count="5">
        <i x="0" s="1"/>
        <i x="1"/>
        <i x="4"/>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E85317-1C3B-4E18-9C34-A8805D776D85}" cache="Slicer_Gender" caption="Gender" columnCount="2" style="Slicer Style 6" rowHeight="247650"/>
  <slicer name="Department" xr10:uid="{C53C20A6-68CF-4413-8AF0-619327F35563}" cache="Slicer_Department" caption="Department" columnCount="3" style="Slicer Style 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CDB40D-3BBF-407C-B2DA-8439FCC22377}" name="Table1" displayName="Table1" ref="A1:U51" totalsRowShown="0" headerRowDxfId="28" dataDxfId="27">
  <autoFilter ref="A1:U51" xr:uid="{3BCDB40D-3BBF-407C-B2DA-8439FCC22377}"/>
  <tableColumns count="21">
    <tableColumn id="1" xr3:uid="{89FB80CF-26D3-47A9-AA0E-7A2684960219}" name="Employee ID" dataDxfId="26"/>
    <tableColumn id="2" xr3:uid="{3EDA49C1-6EE4-4FA4-B4CD-DFE65480019D}" name="Full Name" dataDxfId="25"/>
    <tableColumn id="3" xr3:uid="{660CF2F5-FD68-4E9D-BACA-5B8C592DEEFF}" name="Gender" dataDxfId="24"/>
    <tableColumn id="4" xr3:uid="{5099BB2E-D88C-46FF-9D95-427B3DB5C13A}" name="Age" dataDxfId="23"/>
    <tableColumn id="5" xr3:uid="{260FC63A-C370-4F26-B86F-E8CDCAF1A12E}" name="Age range" dataDxfId="22"/>
    <tableColumn id="6" xr3:uid="{7A5E3815-985B-40E9-851A-EA685E5E7A6E}" name="Region" dataDxfId="21"/>
    <tableColumn id="7" xr3:uid="{C1A44D60-B0F3-438C-B32F-00DA18110931}" name="Job Title" dataDxfId="20"/>
    <tableColumn id="8" xr3:uid="{32709358-F496-4D33-BBC8-77042D0E55CF}" name="Department" dataDxfId="19"/>
    <tableColumn id="9" xr3:uid="{4AE51782-46EB-4318-B72D-A4BD19A50595}" name="Manager/Supervisor" dataDxfId="18"/>
    <tableColumn id="10" xr3:uid="{161332B9-C6A4-45F3-9DFF-AC0B5244836C}" name="Date of Hire" dataDxfId="17"/>
    <tableColumn id="11" xr3:uid="{D4C31AE0-DBB2-4913-B805-760A1FFE2253}" name="Employment Status" dataDxfId="16"/>
    <tableColumn id="12" xr3:uid="{FDF340B6-2BCA-407E-98FA-0984245D0582}" name="Work Location" dataDxfId="15"/>
    <tableColumn id="13" xr3:uid="{B0FE84D4-8AAD-4653-83C9-9A2C75742679}" name="Salary" dataDxfId="14"/>
    <tableColumn id="14" xr3:uid="{0AEBBCE0-2981-41C9-9F03-D12644DA8052}" name="Pay Grade" dataDxfId="13"/>
    <tableColumn id="15" xr3:uid="{7559D3CC-C55B-41FA-818F-CB3B77C14F25}" name="Bonus/Allowances" dataDxfId="12"/>
    <tableColumn id="16" xr3:uid="{1D20509F-9FD1-4419-B27C-130E27F896D0}" name="Insurance Details" dataDxfId="11"/>
    <tableColumn id="17" xr3:uid="{14114B7E-E530-4D9D-82DB-4BAF3CCA2290}" name="Leave Taken" dataDxfId="10"/>
    <tableColumn id="18" xr3:uid="{559E86FC-112E-49AF-87DC-015AF6751208}" name="Performance Rating" dataDxfId="9"/>
    <tableColumn id="19" xr3:uid="{FCBC8F50-53F1-4298-89D6-D19408DD93FE}" name="Training Programs Attended" dataDxfId="8"/>
    <tableColumn id="20" xr3:uid="{4BD90AFE-1130-4E8C-AAAE-84B9129779DD}" name="Skills" dataDxfId="7"/>
    <tableColumn id="21" xr3:uid="{6A9BC82B-AD7E-4005-A883-29819C4FCFF1}" name="Certifications"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82D28-4786-49DC-ACC4-941558CA662A}">
  <dimension ref="A1:AC33"/>
  <sheetViews>
    <sheetView showGridLines="0" tabSelected="1" zoomScale="85" zoomScaleNormal="85" workbookViewId="0">
      <selection activeCell="AD37" sqref="AD37"/>
    </sheetView>
  </sheetViews>
  <sheetFormatPr defaultRowHeight="14.4"/>
  <cols>
    <col min="1" max="16384" width="8.88671875" style="2"/>
  </cols>
  <sheetData>
    <row r="1" spans="1:29">
      <c r="A1" s="1"/>
      <c r="R1" s="20"/>
      <c r="S1" s="20"/>
      <c r="T1" s="20"/>
      <c r="U1" s="20"/>
      <c r="V1" s="20"/>
      <c r="W1" s="20"/>
      <c r="X1" s="20"/>
      <c r="Y1" s="20"/>
      <c r="Z1" s="20"/>
      <c r="AA1" s="20"/>
      <c r="AB1" s="20"/>
      <c r="AC1" s="20"/>
    </row>
    <row r="2" spans="1:29">
      <c r="R2" s="20"/>
      <c r="S2" s="20"/>
      <c r="T2" s="20"/>
      <c r="U2" s="20"/>
      <c r="V2" s="20"/>
      <c r="W2" s="20"/>
      <c r="X2" s="20"/>
      <c r="Y2" s="20"/>
      <c r="Z2" s="20"/>
      <c r="AA2" s="20"/>
      <c r="AB2" s="20"/>
      <c r="AC2" s="20"/>
    </row>
    <row r="3" spans="1:29">
      <c r="R3" s="20"/>
      <c r="S3" s="20"/>
      <c r="T3" s="20"/>
      <c r="U3" s="20"/>
      <c r="V3" s="20"/>
      <c r="W3" s="20"/>
      <c r="X3" s="20"/>
      <c r="Y3" s="20"/>
      <c r="Z3" s="20"/>
      <c r="AA3" s="20"/>
      <c r="AB3" s="20"/>
      <c r="AC3" s="20"/>
    </row>
    <row r="4" spans="1:29">
      <c r="R4" s="20"/>
      <c r="S4" s="20"/>
      <c r="T4" s="20"/>
      <c r="U4" s="20"/>
      <c r="V4" s="20"/>
      <c r="W4" s="20"/>
      <c r="X4" s="20"/>
      <c r="Y4" s="20"/>
      <c r="Z4" s="20"/>
      <c r="AA4" s="20"/>
      <c r="AB4" s="20"/>
      <c r="AC4" s="20"/>
    </row>
    <row r="5" spans="1:29">
      <c r="R5" s="20"/>
      <c r="S5" s="20"/>
      <c r="T5" s="20"/>
      <c r="U5" s="20"/>
      <c r="V5" s="20"/>
      <c r="W5" s="20"/>
      <c r="X5" s="20"/>
      <c r="Y5" s="20"/>
      <c r="Z5" s="20"/>
      <c r="AA5" s="20"/>
      <c r="AB5" s="20"/>
      <c r="AC5" s="20"/>
    </row>
    <row r="6" spans="1:29">
      <c r="R6" s="20"/>
      <c r="S6" s="20"/>
      <c r="T6" s="20"/>
      <c r="U6" s="20"/>
      <c r="V6" s="20"/>
      <c r="W6" s="20"/>
      <c r="X6" s="20"/>
      <c r="Y6" s="20"/>
      <c r="Z6" s="20"/>
      <c r="AA6" s="20"/>
      <c r="AB6" s="20"/>
      <c r="AC6" s="20"/>
    </row>
    <row r="7" spans="1:29">
      <c r="R7" s="20"/>
      <c r="S7" s="20"/>
      <c r="T7" s="20"/>
      <c r="U7" s="20"/>
      <c r="V7" s="20"/>
      <c r="W7" s="20"/>
      <c r="X7" s="20"/>
      <c r="Y7" s="20"/>
      <c r="Z7" s="20"/>
      <c r="AA7" s="20"/>
      <c r="AB7" s="20"/>
      <c r="AC7" s="20"/>
    </row>
    <row r="8" spans="1:29">
      <c r="R8" s="20"/>
      <c r="S8" s="20"/>
      <c r="T8" s="20"/>
      <c r="U8" s="20"/>
      <c r="V8" s="20"/>
      <c r="W8" s="20"/>
      <c r="X8" s="20"/>
      <c r="Y8" s="20"/>
      <c r="Z8" s="20"/>
      <c r="AA8" s="20"/>
      <c r="AB8" s="20"/>
      <c r="AC8" s="20"/>
    </row>
    <row r="9" spans="1:29">
      <c r="R9" s="20"/>
      <c r="S9" s="20"/>
      <c r="T9" s="20"/>
      <c r="U9" s="20"/>
      <c r="V9" s="20"/>
      <c r="W9" s="20"/>
      <c r="X9" s="20"/>
      <c r="Y9" s="20"/>
      <c r="Z9" s="20"/>
      <c r="AA9" s="20"/>
      <c r="AB9" s="20"/>
      <c r="AC9" s="20"/>
    </row>
    <row r="10" spans="1:29">
      <c r="R10" s="20"/>
      <c r="S10" s="20"/>
      <c r="T10" s="20"/>
      <c r="U10" s="20"/>
      <c r="V10" s="20"/>
      <c r="W10" s="20"/>
      <c r="X10" s="20"/>
      <c r="Y10" s="20"/>
      <c r="Z10" s="20"/>
      <c r="AA10" s="20"/>
      <c r="AB10" s="20"/>
      <c r="AC10" s="20"/>
    </row>
    <row r="11" spans="1:29">
      <c r="R11" s="20"/>
      <c r="S11" s="20"/>
      <c r="T11" s="20"/>
      <c r="U11" s="20"/>
      <c r="V11" s="20"/>
      <c r="W11" s="20"/>
      <c r="X11" s="20"/>
      <c r="Y11" s="20"/>
      <c r="Z11" s="20"/>
      <c r="AA11" s="20"/>
      <c r="AB11" s="20"/>
      <c r="AC11" s="20"/>
    </row>
    <row r="12" spans="1:29">
      <c r="R12" s="20"/>
      <c r="S12" s="20"/>
      <c r="T12" s="20"/>
      <c r="U12" s="20"/>
      <c r="V12" s="20"/>
      <c r="W12" s="20"/>
      <c r="X12" s="20"/>
      <c r="Y12" s="20"/>
      <c r="Z12" s="20"/>
      <c r="AA12" s="20"/>
      <c r="AB12" s="20"/>
      <c r="AC12" s="20"/>
    </row>
    <row r="13" spans="1:29">
      <c r="R13" s="20"/>
      <c r="S13" s="20"/>
      <c r="T13" s="20"/>
      <c r="U13" s="20"/>
      <c r="V13" s="20"/>
      <c r="W13" s="20"/>
      <c r="X13" s="20"/>
      <c r="Y13" s="20"/>
      <c r="Z13" s="20"/>
      <c r="AA13" s="20"/>
      <c r="AB13" s="20"/>
      <c r="AC13" s="20"/>
    </row>
    <row r="14" spans="1:29">
      <c r="R14" s="20"/>
      <c r="S14" s="20"/>
      <c r="T14" s="20"/>
      <c r="U14" s="20"/>
      <c r="V14" s="20"/>
      <c r="W14" s="20"/>
      <c r="X14" s="20"/>
      <c r="Y14" s="20"/>
      <c r="Z14" s="20"/>
      <c r="AA14" s="20"/>
      <c r="AB14" s="20"/>
      <c r="AC14" s="20"/>
    </row>
    <row r="15" spans="1:29">
      <c r="R15" s="20"/>
      <c r="S15" s="20"/>
      <c r="T15" s="20"/>
      <c r="U15" s="20"/>
      <c r="V15" s="20"/>
      <c r="W15" s="20"/>
      <c r="X15" s="20"/>
      <c r="Y15" s="20"/>
      <c r="Z15" s="20"/>
      <c r="AA15" s="20"/>
      <c r="AB15" s="20"/>
      <c r="AC15" s="20"/>
    </row>
    <row r="16" spans="1:29">
      <c r="R16" s="20"/>
      <c r="S16" s="20"/>
      <c r="T16" s="20"/>
      <c r="U16" s="20"/>
      <c r="V16" s="20"/>
      <c r="W16" s="20"/>
      <c r="X16" s="20"/>
      <c r="Y16" s="20"/>
      <c r="Z16" s="20"/>
      <c r="AA16" s="20"/>
      <c r="AB16" s="20"/>
      <c r="AC16" s="20"/>
    </row>
    <row r="17" spans="18:29">
      <c r="R17" s="20"/>
      <c r="S17" s="20"/>
      <c r="T17" s="20"/>
      <c r="U17" s="20"/>
      <c r="V17" s="20"/>
      <c r="W17" s="20"/>
      <c r="X17" s="20"/>
      <c r="Y17" s="20"/>
      <c r="Z17" s="20"/>
      <c r="AA17" s="20"/>
      <c r="AB17" s="20"/>
      <c r="AC17" s="20"/>
    </row>
    <row r="18" spans="18:29">
      <c r="R18" s="20"/>
      <c r="S18" s="20"/>
      <c r="T18" s="20"/>
      <c r="U18" s="20"/>
      <c r="V18" s="20"/>
      <c r="W18" s="20"/>
      <c r="X18" s="20"/>
      <c r="Y18" s="20"/>
      <c r="Z18" s="20"/>
      <c r="AA18" s="20"/>
      <c r="AB18" s="20"/>
      <c r="AC18" s="20"/>
    </row>
    <row r="19" spans="18:29">
      <c r="R19" s="20"/>
      <c r="S19" s="20"/>
      <c r="T19" s="20"/>
      <c r="U19" s="20"/>
      <c r="V19" s="20"/>
      <c r="W19" s="20"/>
      <c r="X19" s="20"/>
      <c r="Y19" s="20"/>
      <c r="Z19" s="20"/>
      <c r="AA19" s="20"/>
      <c r="AB19" s="20"/>
      <c r="AC19" s="20"/>
    </row>
    <row r="20" spans="18:29">
      <c r="R20" s="20"/>
      <c r="S20" s="20"/>
      <c r="T20" s="20"/>
      <c r="U20" s="20"/>
      <c r="V20" s="20"/>
      <c r="W20" s="20"/>
      <c r="X20" s="20"/>
      <c r="Y20" s="20"/>
      <c r="Z20" s="20"/>
      <c r="AA20" s="20"/>
      <c r="AB20" s="20"/>
      <c r="AC20" s="20"/>
    </row>
    <row r="21" spans="18:29">
      <c r="R21" s="20"/>
      <c r="S21" s="20"/>
      <c r="T21" s="20"/>
      <c r="U21" s="20"/>
      <c r="V21" s="20"/>
      <c r="W21" s="20"/>
      <c r="X21" s="20"/>
      <c r="Y21" s="20"/>
      <c r="Z21" s="20"/>
      <c r="AA21" s="20"/>
      <c r="AB21" s="20"/>
      <c r="AC21" s="20"/>
    </row>
    <row r="22" spans="18:29">
      <c r="R22" s="20"/>
      <c r="S22" s="20"/>
      <c r="T22" s="20"/>
      <c r="U22" s="20"/>
      <c r="V22" s="20"/>
      <c r="W22" s="20"/>
      <c r="X22" s="20"/>
      <c r="Y22" s="20"/>
      <c r="Z22" s="20"/>
      <c r="AA22" s="20"/>
      <c r="AB22" s="20"/>
      <c r="AC22" s="20"/>
    </row>
    <row r="23" spans="18:29">
      <c r="R23" s="20"/>
      <c r="S23" s="20"/>
      <c r="T23" s="20"/>
      <c r="U23" s="20"/>
      <c r="V23" s="20"/>
      <c r="W23" s="20"/>
      <c r="X23" s="20"/>
      <c r="Y23" s="20"/>
      <c r="Z23" s="20"/>
      <c r="AA23" s="20"/>
      <c r="AB23" s="20"/>
      <c r="AC23" s="20"/>
    </row>
    <row r="24" spans="18:29">
      <c r="R24" s="20"/>
      <c r="S24" s="20"/>
      <c r="T24" s="20"/>
      <c r="U24" s="20"/>
      <c r="V24" s="20"/>
      <c r="W24" s="20"/>
      <c r="X24" s="20"/>
      <c r="Y24" s="20"/>
      <c r="Z24" s="20"/>
      <c r="AA24" s="20"/>
      <c r="AB24" s="20"/>
      <c r="AC24" s="20"/>
    </row>
    <row r="25" spans="18:29">
      <c r="R25" s="20"/>
      <c r="S25" s="20"/>
      <c r="T25" s="20"/>
      <c r="U25" s="20"/>
      <c r="V25" s="20"/>
      <c r="W25" s="20"/>
      <c r="X25" s="20"/>
      <c r="Y25" s="20"/>
      <c r="Z25" s="20"/>
      <c r="AA25" s="20"/>
      <c r="AB25" s="20"/>
      <c r="AC25" s="20"/>
    </row>
    <row r="26" spans="18:29">
      <c r="R26" s="20"/>
      <c r="S26" s="20"/>
      <c r="T26" s="20"/>
      <c r="U26" s="20"/>
      <c r="V26" s="20"/>
      <c r="W26" s="20"/>
      <c r="X26" s="20"/>
      <c r="Y26" s="20"/>
      <c r="Z26" s="20"/>
      <c r="AA26" s="20"/>
      <c r="AB26" s="20"/>
      <c r="AC26" s="20"/>
    </row>
    <row r="27" spans="18:29">
      <c r="R27" s="20"/>
      <c r="S27" s="20"/>
      <c r="T27" s="20"/>
      <c r="U27" s="20"/>
      <c r="V27" s="20"/>
      <c r="W27" s="20"/>
      <c r="X27" s="20"/>
      <c r="Y27" s="20"/>
      <c r="Z27" s="20"/>
      <c r="AA27" s="20"/>
      <c r="AB27" s="20"/>
      <c r="AC27" s="20"/>
    </row>
    <row r="28" spans="18:29">
      <c r="R28" s="20"/>
      <c r="S28" s="20"/>
      <c r="T28" s="20"/>
      <c r="U28" s="20"/>
      <c r="V28" s="20"/>
      <c r="W28" s="20"/>
      <c r="X28" s="20"/>
      <c r="Y28" s="20"/>
      <c r="Z28" s="20"/>
      <c r="AA28" s="20"/>
      <c r="AB28" s="20"/>
      <c r="AC28" s="20"/>
    </row>
    <row r="29" spans="18:29">
      <c r="R29" s="20"/>
      <c r="S29" s="20"/>
      <c r="T29" s="20"/>
      <c r="U29" s="20"/>
      <c r="V29" s="20"/>
      <c r="W29" s="20"/>
      <c r="X29" s="20"/>
      <c r="Y29" s="20"/>
      <c r="Z29" s="20"/>
      <c r="AA29" s="20"/>
      <c r="AB29" s="20"/>
      <c r="AC29" s="20"/>
    </row>
    <row r="30" spans="18:29">
      <c r="R30" s="20"/>
      <c r="S30" s="20"/>
      <c r="T30" s="20"/>
      <c r="U30" s="20"/>
      <c r="V30" s="20"/>
      <c r="W30" s="20"/>
      <c r="X30" s="20"/>
      <c r="Y30" s="20"/>
      <c r="Z30" s="20"/>
      <c r="AA30" s="20"/>
      <c r="AB30" s="20"/>
      <c r="AC30" s="20"/>
    </row>
    <row r="31" spans="18:29">
      <c r="R31" s="20"/>
      <c r="S31" s="20"/>
      <c r="T31" s="20"/>
      <c r="U31" s="20"/>
      <c r="V31" s="20"/>
      <c r="W31" s="20"/>
      <c r="X31" s="20"/>
      <c r="Y31" s="20"/>
      <c r="Z31" s="20"/>
      <c r="AA31" s="20"/>
      <c r="AB31" s="20"/>
      <c r="AC31" s="20"/>
    </row>
    <row r="32" spans="18:29">
      <c r="R32" s="20"/>
      <c r="S32" s="20"/>
      <c r="T32" s="20"/>
      <c r="U32" s="20"/>
      <c r="V32" s="20"/>
      <c r="W32" s="20"/>
      <c r="X32" s="20"/>
      <c r="Y32" s="20"/>
      <c r="Z32" s="20"/>
      <c r="AA32" s="20"/>
      <c r="AB32" s="20"/>
      <c r="AC32" s="20"/>
    </row>
    <row r="33" spans="18:29">
      <c r="R33" s="20"/>
      <c r="S33" s="20"/>
      <c r="T33" s="20"/>
      <c r="U33" s="20"/>
      <c r="V33" s="20"/>
      <c r="W33" s="20"/>
      <c r="X33" s="20"/>
      <c r="Y33" s="20"/>
      <c r="Z33" s="20"/>
      <c r="AA33" s="20"/>
      <c r="AB33" s="20"/>
      <c r="AC33" s="20"/>
    </row>
  </sheetData>
  <mergeCells count="1">
    <mergeCell ref="R1:AC3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9FF7-7C33-4774-BA1D-16926358430A}">
  <dimension ref="A1:U51"/>
  <sheetViews>
    <sheetView topLeftCell="A2" workbookViewId="0">
      <selection sqref="A1:U51"/>
    </sheetView>
  </sheetViews>
  <sheetFormatPr defaultColWidth="9.109375" defaultRowHeight="13.8"/>
  <cols>
    <col min="1" max="1" width="17.6640625" style="4" bestFit="1" customWidth="1"/>
    <col min="2" max="2" width="18.109375" style="4" bestFit="1" customWidth="1"/>
    <col min="3" max="3" width="12.88671875" style="4" bestFit="1" customWidth="1"/>
    <col min="4" max="4" width="9.5546875" style="4" bestFit="1" customWidth="1"/>
    <col min="5" max="5" width="15.88671875" style="4" bestFit="1" customWidth="1"/>
    <col min="6" max="6" width="12.33203125" style="4" bestFit="1" customWidth="1"/>
    <col min="7" max="7" width="14.109375" style="4" bestFit="1" customWidth="1"/>
    <col min="8" max="8" width="17.44140625" style="4" bestFit="1" customWidth="1"/>
    <col min="9" max="9" width="25.6640625" style="4" bestFit="1" customWidth="1"/>
    <col min="10" max="10" width="18" style="4" bestFit="1" customWidth="1"/>
    <col min="11" max="11" width="25" style="4" bestFit="1" customWidth="1"/>
    <col min="12" max="12" width="20.33203125" style="4" bestFit="1" customWidth="1"/>
    <col min="13" max="13" width="11.88671875" style="4" bestFit="1" customWidth="1"/>
    <col min="14" max="14" width="16.109375" style="4" bestFit="1" customWidth="1"/>
    <col min="15" max="15" width="24" style="4" bestFit="1" customWidth="1"/>
    <col min="16" max="16" width="22.6640625" style="4" bestFit="1" customWidth="1"/>
    <col min="17" max="17" width="18.109375" style="4" bestFit="1" customWidth="1"/>
    <col min="18" max="18" width="25.44140625" style="4" bestFit="1" customWidth="1"/>
    <col min="19" max="19" width="34" style="4" bestFit="1" customWidth="1"/>
    <col min="20" max="20" width="16" style="4" bestFit="1" customWidth="1"/>
    <col min="21" max="21" width="21.109375" style="4" bestFit="1" customWidth="1"/>
    <col min="22" max="16384" width="9.109375" style="4"/>
  </cols>
  <sheetData>
    <row r="1" spans="1:2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s="5">
        <v>4294</v>
      </c>
      <c r="B2" s="5" t="s">
        <v>21</v>
      </c>
      <c r="C2" s="5" t="s">
        <v>22</v>
      </c>
      <c r="D2" s="5">
        <v>25</v>
      </c>
      <c r="E2" s="5" t="s">
        <v>23</v>
      </c>
      <c r="F2" s="5" t="s">
        <v>24</v>
      </c>
      <c r="G2" s="5" t="s">
        <v>25</v>
      </c>
      <c r="H2" s="5" t="s">
        <v>26</v>
      </c>
      <c r="I2" s="5" t="s">
        <v>27</v>
      </c>
      <c r="J2" s="5" t="s">
        <v>28</v>
      </c>
      <c r="K2" s="5" t="s">
        <v>29</v>
      </c>
      <c r="L2" s="5" t="s">
        <v>30</v>
      </c>
      <c r="M2" s="5">
        <v>53700</v>
      </c>
      <c r="N2" s="5" t="s">
        <v>31</v>
      </c>
      <c r="O2" s="5">
        <v>1463</v>
      </c>
      <c r="P2" s="5" t="s">
        <v>32</v>
      </c>
      <c r="Q2" s="5">
        <v>1</v>
      </c>
      <c r="R2" s="5">
        <v>1</v>
      </c>
      <c r="S2" s="5" t="s">
        <v>33</v>
      </c>
      <c r="T2" s="5" t="s">
        <v>34</v>
      </c>
      <c r="U2" s="5" t="s">
        <v>35</v>
      </c>
    </row>
    <row r="3" spans="1:21">
      <c r="A3" s="5">
        <v>9116</v>
      </c>
      <c r="B3" s="5" t="s">
        <v>36</v>
      </c>
      <c r="C3" s="5" t="s">
        <v>37</v>
      </c>
      <c r="D3" s="5">
        <v>27</v>
      </c>
      <c r="E3" s="5" t="s">
        <v>38</v>
      </c>
      <c r="F3" s="5" t="s">
        <v>39</v>
      </c>
      <c r="G3" s="5" t="s">
        <v>40</v>
      </c>
      <c r="H3" s="5" t="s">
        <v>41</v>
      </c>
      <c r="I3" s="5" t="s">
        <v>42</v>
      </c>
      <c r="J3" s="5" t="s">
        <v>43</v>
      </c>
      <c r="K3" s="5" t="s">
        <v>29</v>
      </c>
      <c r="L3" s="5" t="s">
        <v>44</v>
      </c>
      <c r="M3" s="5">
        <v>91091</v>
      </c>
      <c r="N3" s="5" t="s">
        <v>45</v>
      </c>
      <c r="O3" s="5">
        <v>1024</v>
      </c>
      <c r="P3" s="5" t="s">
        <v>46</v>
      </c>
      <c r="Q3" s="5">
        <v>19</v>
      </c>
      <c r="R3" s="5">
        <v>4</v>
      </c>
      <c r="S3" s="5" t="s">
        <v>47</v>
      </c>
      <c r="T3" s="5" t="s">
        <v>34</v>
      </c>
      <c r="U3" s="5" t="s">
        <v>35</v>
      </c>
    </row>
    <row r="4" spans="1:21">
      <c r="A4" s="5">
        <v>5120</v>
      </c>
      <c r="B4" s="5" t="s">
        <v>48</v>
      </c>
      <c r="C4" s="5" t="s">
        <v>37</v>
      </c>
      <c r="D4" s="5">
        <v>34</v>
      </c>
      <c r="E4" s="5" t="s">
        <v>38</v>
      </c>
      <c r="F4" s="5" t="s">
        <v>49</v>
      </c>
      <c r="G4" s="5" t="s">
        <v>50</v>
      </c>
      <c r="H4" s="5" t="s">
        <v>51</v>
      </c>
      <c r="I4" s="5" t="s">
        <v>52</v>
      </c>
      <c r="J4" s="5" t="s">
        <v>53</v>
      </c>
      <c r="K4" s="5" t="s">
        <v>29</v>
      </c>
      <c r="L4" s="5" t="s">
        <v>54</v>
      </c>
      <c r="M4" s="5">
        <v>57538</v>
      </c>
      <c r="N4" s="5" t="s">
        <v>55</v>
      </c>
      <c r="O4" s="5">
        <v>1674</v>
      </c>
      <c r="P4" s="5" t="s">
        <v>46</v>
      </c>
      <c r="Q4" s="5">
        <v>8</v>
      </c>
      <c r="R4" s="5">
        <v>1</v>
      </c>
      <c r="S4" s="5" t="s">
        <v>46</v>
      </c>
      <c r="T4" s="5" t="s">
        <v>56</v>
      </c>
      <c r="U4" s="5" t="s">
        <v>57</v>
      </c>
    </row>
    <row r="5" spans="1:21">
      <c r="A5" s="5">
        <v>8071</v>
      </c>
      <c r="B5" s="5" t="s">
        <v>58</v>
      </c>
      <c r="C5" s="5" t="s">
        <v>22</v>
      </c>
      <c r="D5" s="5">
        <v>41</v>
      </c>
      <c r="E5" s="5" t="s">
        <v>59</v>
      </c>
      <c r="F5" s="5" t="s">
        <v>49</v>
      </c>
      <c r="G5" s="5" t="s">
        <v>25</v>
      </c>
      <c r="H5" s="5" t="s">
        <v>60</v>
      </c>
      <c r="I5" s="5" t="s">
        <v>61</v>
      </c>
      <c r="J5" s="5" t="s">
        <v>62</v>
      </c>
      <c r="K5" s="5" t="s">
        <v>63</v>
      </c>
      <c r="L5" s="5" t="s">
        <v>30</v>
      </c>
      <c r="M5" s="5">
        <v>62993</v>
      </c>
      <c r="N5" s="5" t="s">
        <v>64</v>
      </c>
      <c r="O5" s="5">
        <v>2695</v>
      </c>
      <c r="P5" s="5" t="s">
        <v>65</v>
      </c>
      <c r="Q5" s="5">
        <v>0</v>
      </c>
      <c r="R5" s="5">
        <v>2</v>
      </c>
      <c r="S5" s="5" t="s">
        <v>46</v>
      </c>
      <c r="T5" s="5" t="s">
        <v>66</v>
      </c>
      <c r="U5" s="5" t="s">
        <v>46</v>
      </c>
    </row>
    <row r="6" spans="1:21">
      <c r="A6" s="5">
        <v>9351</v>
      </c>
      <c r="B6" s="5" t="s">
        <v>67</v>
      </c>
      <c r="C6" s="5" t="s">
        <v>37</v>
      </c>
      <c r="D6" s="5">
        <v>56</v>
      </c>
      <c r="E6" s="5" t="s">
        <v>68</v>
      </c>
      <c r="F6" s="5" t="s">
        <v>24</v>
      </c>
      <c r="G6" s="5" t="s">
        <v>25</v>
      </c>
      <c r="H6" s="5" t="s">
        <v>51</v>
      </c>
      <c r="I6" s="5" t="s">
        <v>69</v>
      </c>
      <c r="J6" s="5" t="s">
        <v>70</v>
      </c>
      <c r="K6" s="5" t="s">
        <v>63</v>
      </c>
      <c r="L6" s="5" t="s">
        <v>44</v>
      </c>
      <c r="M6" s="5">
        <v>45773</v>
      </c>
      <c r="N6" s="5" t="s">
        <v>64</v>
      </c>
      <c r="O6" s="5">
        <v>8776</v>
      </c>
      <c r="P6" s="5" t="s">
        <v>32</v>
      </c>
      <c r="Q6" s="5">
        <v>16</v>
      </c>
      <c r="R6" s="5">
        <v>4</v>
      </c>
      <c r="S6" s="5" t="s">
        <v>33</v>
      </c>
      <c r="T6" s="5" t="s">
        <v>66</v>
      </c>
      <c r="U6" s="5" t="s">
        <v>46</v>
      </c>
    </row>
    <row r="7" spans="1:21">
      <c r="A7" s="5">
        <v>2873</v>
      </c>
      <c r="B7" s="5" t="s">
        <v>71</v>
      </c>
      <c r="C7" s="5" t="s">
        <v>22</v>
      </c>
      <c r="D7" s="5">
        <v>28</v>
      </c>
      <c r="E7" s="5" t="s">
        <v>38</v>
      </c>
      <c r="F7" s="5" t="s">
        <v>49</v>
      </c>
      <c r="G7" s="5" t="s">
        <v>72</v>
      </c>
      <c r="H7" s="5" t="s">
        <v>51</v>
      </c>
      <c r="I7" s="5" t="s">
        <v>73</v>
      </c>
      <c r="J7" s="5" t="s">
        <v>74</v>
      </c>
      <c r="K7" s="5" t="s">
        <v>29</v>
      </c>
      <c r="L7" s="5" t="s">
        <v>44</v>
      </c>
      <c r="M7" s="5">
        <v>96249</v>
      </c>
      <c r="N7" s="5" t="s">
        <v>31</v>
      </c>
      <c r="O7" s="5">
        <v>4826</v>
      </c>
      <c r="P7" s="5" t="s">
        <v>65</v>
      </c>
      <c r="Q7" s="5">
        <v>7</v>
      </c>
      <c r="R7" s="5">
        <v>3</v>
      </c>
      <c r="S7" s="5" t="s">
        <v>33</v>
      </c>
      <c r="T7" s="5" t="s">
        <v>75</v>
      </c>
      <c r="U7" s="5" t="s">
        <v>35</v>
      </c>
    </row>
    <row r="8" spans="1:21">
      <c r="A8" s="5">
        <v>3540</v>
      </c>
      <c r="B8" s="5" t="s">
        <v>76</v>
      </c>
      <c r="C8" s="5" t="s">
        <v>22</v>
      </c>
      <c r="D8" s="5">
        <v>20</v>
      </c>
      <c r="E8" s="5" t="s">
        <v>23</v>
      </c>
      <c r="F8" s="5" t="s">
        <v>39</v>
      </c>
      <c r="G8" s="5" t="s">
        <v>50</v>
      </c>
      <c r="H8" s="5" t="s">
        <v>51</v>
      </c>
      <c r="I8" s="5" t="s">
        <v>77</v>
      </c>
      <c r="J8" s="5" t="s">
        <v>78</v>
      </c>
      <c r="K8" s="5" t="s">
        <v>29</v>
      </c>
      <c r="L8" s="5" t="s">
        <v>54</v>
      </c>
      <c r="M8" s="5">
        <v>61596</v>
      </c>
      <c r="N8" s="5" t="s">
        <v>31</v>
      </c>
      <c r="O8" s="5">
        <v>8818</v>
      </c>
      <c r="P8" s="5" t="s">
        <v>65</v>
      </c>
      <c r="Q8" s="5">
        <v>4</v>
      </c>
      <c r="R8" s="5">
        <v>2</v>
      </c>
      <c r="S8" s="5" t="s">
        <v>33</v>
      </c>
      <c r="T8" s="5" t="s">
        <v>56</v>
      </c>
      <c r="U8" s="5" t="s">
        <v>46</v>
      </c>
    </row>
    <row r="9" spans="1:21">
      <c r="A9" s="5">
        <v>3653</v>
      </c>
      <c r="B9" s="5" t="s">
        <v>79</v>
      </c>
      <c r="C9" s="5" t="s">
        <v>22</v>
      </c>
      <c r="D9" s="5">
        <v>58</v>
      </c>
      <c r="E9" s="5" t="s">
        <v>68</v>
      </c>
      <c r="F9" s="5" t="s">
        <v>80</v>
      </c>
      <c r="G9" s="5" t="s">
        <v>40</v>
      </c>
      <c r="H9" s="5" t="s">
        <v>81</v>
      </c>
      <c r="I9" s="5" t="s">
        <v>82</v>
      </c>
      <c r="J9" s="5" t="s">
        <v>83</v>
      </c>
      <c r="K9" s="5" t="s">
        <v>29</v>
      </c>
      <c r="L9" s="5" t="s">
        <v>54</v>
      </c>
      <c r="M9" s="5">
        <v>97869</v>
      </c>
      <c r="N9" s="5" t="s">
        <v>64</v>
      </c>
      <c r="O9" s="5">
        <v>1966</v>
      </c>
      <c r="P9" s="5" t="s">
        <v>32</v>
      </c>
      <c r="Q9" s="5">
        <v>10</v>
      </c>
      <c r="R9" s="5">
        <v>1</v>
      </c>
      <c r="S9" s="5" t="s">
        <v>33</v>
      </c>
      <c r="T9" s="5" t="s">
        <v>34</v>
      </c>
      <c r="U9" s="5" t="s">
        <v>35</v>
      </c>
    </row>
    <row r="10" spans="1:21">
      <c r="A10" s="5">
        <v>5587</v>
      </c>
      <c r="B10" s="5" t="s">
        <v>84</v>
      </c>
      <c r="C10" s="5" t="s">
        <v>22</v>
      </c>
      <c r="D10" s="5">
        <v>44</v>
      </c>
      <c r="E10" s="5" t="s">
        <v>59</v>
      </c>
      <c r="F10" s="5" t="s">
        <v>80</v>
      </c>
      <c r="G10" s="5" t="s">
        <v>50</v>
      </c>
      <c r="H10" s="5" t="s">
        <v>51</v>
      </c>
      <c r="I10" s="5" t="s">
        <v>85</v>
      </c>
      <c r="J10" s="5" t="s">
        <v>86</v>
      </c>
      <c r="K10" s="5" t="s">
        <v>29</v>
      </c>
      <c r="L10" s="5" t="s">
        <v>30</v>
      </c>
      <c r="M10" s="5">
        <v>81235</v>
      </c>
      <c r="N10" s="5" t="s">
        <v>64</v>
      </c>
      <c r="O10" s="5">
        <v>6553</v>
      </c>
      <c r="P10" s="5" t="s">
        <v>46</v>
      </c>
      <c r="Q10" s="5">
        <v>16</v>
      </c>
      <c r="R10" s="5">
        <v>2</v>
      </c>
      <c r="S10" s="5" t="s">
        <v>46</v>
      </c>
      <c r="T10" s="5" t="s">
        <v>56</v>
      </c>
      <c r="U10" s="5" t="s">
        <v>35</v>
      </c>
    </row>
    <row r="11" spans="1:21">
      <c r="A11" s="5">
        <v>9554</v>
      </c>
      <c r="B11" s="5" t="s">
        <v>87</v>
      </c>
      <c r="C11" s="5" t="s">
        <v>22</v>
      </c>
      <c r="D11" s="5">
        <v>29</v>
      </c>
      <c r="E11" s="5" t="s">
        <v>38</v>
      </c>
      <c r="F11" s="5" t="s">
        <v>39</v>
      </c>
      <c r="G11" s="5" t="s">
        <v>50</v>
      </c>
      <c r="H11" s="5" t="s">
        <v>60</v>
      </c>
      <c r="I11" s="5" t="s">
        <v>88</v>
      </c>
      <c r="J11" s="5" t="s">
        <v>89</v>
      </c>
      <c r="K11" s="5" t="s">
        <v>29</v>
      </c>
      <c r="L11" s="5" t="s">
        <v>44</v>
      </c>
      <c r="M11" s="5">
        <v>87852</v>
      </c>
      <c r="N11" s="5" t="s">
        <v>64</v>
      </c>
      <c r="O11" s="5">
        <v>4980</v>
      </c>
      <c r="P11" s="5" t="s">
        <v>65</v>
      </c>
      <c r="Q11" s="5">
        <v>19</v>
      </c>
      <c r="R11" s="5">
        <v>3</v>
      </c>
      <c r="S11" s="5" t="s">
        <v>46</v>
      </c>
      <c r="T11" s="5" t="s">
        <v>66</v>
      </c>
      <c r="U11" s="5" t="s">
        <v>35</v>
      </c>
    </row>
    <row r="12" spans="1:21">
      <c r="A12" s="5">
        <v>6213</v>
      </c>
      <c r="B12" s="5" t="s">
        <v>90</v>
      </c>
      <c r="C12" s="5" t="s">
        <v>37</v>
      </c>
      <c r="D12" s="5">
        <v>23</v>
      </c>
      <c r="E12" s="5" t="s">
        <v>23</v>
      </c>
      <c r="F12" s="5" t="s">
        <v>80</v>
      </c>
      <c r="G12" s="5" t="s">
        <v>25</v>
      </c>
      <c r="H12" s="5" t="s">
        <v>51</v>
      </c>
      <c r="I12" s="5" t="s">
        <v>91</v>
      </c>
      <c r="J12" s="5" t="s">
        <v>92</v>
      </c>
      <c r="K12" s="5" t="s">
        <v>63</v>
      </c>
      <c r="L12" s="5" t="s">
        <v>44</v>
      </c>
      <c r="M12" s="5">
        <v>59359</v>
      </c>
      <c r="N12" s="5" t="s">
        <v>64</v>
      </c>
      <c r="O12" s="5">
        <v>9449</v>
      </c>
      <c r="P12" s="5" t="s">
        <v>65</v>
      </c>
      <c r="Q12" s="5">
        <v>20</v>
      </c>
      <c r="R12" s="5">
        <v>3</v>
      </c>
      <c r="S12" s="5" t="s">
        <v>46</v>
      </c>
      <c r="T12" s="5" t="s">
        <v>56</v>
      </c>
      <c r="U12" s="5" t="s">
        <v>46</v>
      </c>
    </row>
    <row r="13" spans="1:21">
      <c r="A13" s="5">
        <v>9105</v>
      </c>
      <c r="B13" s="5" t="s">
        <v>93</v>
      </c>
      <c r="C13" s="5" t="s">
        <v>37</v>
      </c>
      <c r="D13" s="5">
        <v>30</v>
      </c>
      <c r="E13" s="5" t="s">
        <v>38</v>
      </c>
      <c r="F13" s="5" t="s">
        <v>24</v>
      </c>
      <c r="G13" s="5" t="s">
        <v>40</v>
      </c>
      <c r="H13" s="5" t="s">
        <v>26</v>
      </c>
      <c r="I13" s="5" t="s">
        <v>94</v>
      </c>
      <c r="J13" s="5" t="s">
        <v>95</v>
      </c>
      <c r="K13" s="5" t="s">
        <v>63</v>
      </c>
      <c r="L13" s="5" t="s">
        <v>54</v>
      </c>
      <c r="M13" s="5">
        <v>81225</v>
      </c>
      <c r="N13" s="5" t="s">
        <v>55</v>
      </c>
      <c r="O13" s="5">
        <v>6202</v>
      </c>
      <c r="P13" s="5" t="s">
        <v>65</v>
      </c>
      <c r="Q13" s="5">
        <v>2</v>
      </c>
      <c r="R13" s="5">
        <v>2</v>
      </c>
      <c r="S13" s="5" t="s">
        <v>47</v>
      </c>
      <c r="T13" s="5" t="s">
        <v>96</v>
      </c>
      <c r="U13" s="5" t="s">
        <v>35</v>
      </c>
    </row>
    <row r="14" spans="1:21">
      <c r="A14" s="5">
        <v>9508</v>
      </c>
      <c r="B14" s="5" t="s">
        <v>97</v>
      </c>
      <c r="C14" s="5" t="s">
        <v>22</v>
      </c>
      <c r="D14" s="5">
        <v>49</v>
      </c>
      <c r="E14" s="5" t="s">
        <v>98</v>
      </c>
      <c r="F14" s="5" t="s">
        <v>39</v>
      </c>
      <c r="G14" s="5" t="s">
        <v>25</v>
      </c>
      <c r="H14" s="5" t="s">
        <v>26</v>
      </c>
      <c r="I14" s="5" t="s">
        <v>99</v>
      </c>
      <c r="J14" s="5" t="s">
        <v>100</v>
      </c>
      <c r="K14" s="5" t="s">
        <v>63</v>
      </c>
      <c r="L14" s="5" t="s">
        <v>30</v>
      </c>
      <c r="M14" s="5">
        <v>32788</v>
      </c>
      <c r="N14" s="5" t="s">
        <v>55</v>
      </c>
      <c r="O14" s="5">
        <v>4396</v>
      </c>
      <c r="P14" s="5" t="s">
        <v>32</v>
      </c>
      <c r="Q14" s="5">
        <v>13</v>
      </c>
      <c r="R14" s="5">
        <v>5</v>
      </c>
      <c r="S14" s="5" t="s">
        <v>46</v>
      </c>
      <c r="T14" s="5" t="s">
        <v>75</v>
      </c>
      <c r="U14" s="5" t="s">
        <v>57</v>
      </c>
    </row>
    <row r="15" spans="1:21">
      <c r="A15" s="5">
        <v>2436</v>
      </c>
      <c r="B15" s="5" t="s">
        <v>101</v>
      </c>
      <c r="C15" s="5" t="s">
        <v>37</v>
      </c>
      <c r="D15" s="5">
        <v>60</v>
      </c>
      <c r="E15" s="5" t="s">
        <v>68</v>
      </c>
      <c r="F15" s="5" t="s">
        <v>102</v>
      </c>
      <c r="G15" s="5" t="s">
        <v>25</v>
      </c>
      <c r="H15" s="5" t="s">
        <v>60</v>
      </c>
      <c r="I15" s="5" t="s">
        <v>103</v>
      </c>
      <c r="J15" s="5" t="s">
        <v>104</v>
      </c>
      <c r="K15" s="5" t="s">
        <v>63</v>
      </c>
      <c r="L15" s="5" t="s">
        <v>54</v>
      </c>
      <c r="M15" s="5">
        <v>70452</v>
      </c>
      <c r="N15" s="5" t="s">
        <v>55</v>
      </c>
      <c r="O15" s="5">
        <v>9911</v>
      </c>
      <c r="P15" s="5" t="s">
        <v>46</v>
      </c>
      <c r="Q15" s="5">
        <v>2</v>
      </c>
      <c r="R15" s="5">
        <v>1</v>
      </c>
      <c r="S15" s="5" t="s">
        <v>46</v>
      </c>
      <c r="T15" s="5" t="s">
        <v>75</v>
      </c>
      <c r="U15" s="5" t="s">
        <v>35</v>
      </c>
    </row>
    <row r="16" spans="1:21">
      <c r="A16" s="5">
        <v>4441</v>
      </c>
      <c r="B16" s="5" t="s">
        <v>105</v>
      </c>
      <c r="C16" s="5" t="s">
        <v>37</v>
      </c>
      <c r="D16" s="5">
        <v>46</v>
      </c>
      <c r="E16" s="5" t="s">
        <v>98</v>
      </c>
      <c r="F16" s="5" t="s">
        <v>39</v>
      </c>
      <c r="G16" s="5" t="s">
        <v>72</v>
      </c>
      <c r="H16" s="5" t="s">
        <v>26</v>
      </c>
      <c r="I16" s="5" t="s">
        <v>106</v>
      </c>
      <c r="J16" s="5" t="s">
        <v>107</v>
      </c>
      <c r="K16" s="5" t="s">
        <v>29</v>
      </c>
      <c r="L16" s="5" t="s">
        <v>44</v>
      </c>
      <c r="M16" s="5">
        <v>33045</v>
      </c>
      <c r="N16" s="5" t="s">
        <v>45</v>
      </c>
      <c r="O16" s="5">
        <v>1456</v>
      </c>
      <c r="P16" s="5" t="s">
        <v>46</v>
      </c>
      <c r="Q16" s="5">
        <v>16</v>
      </c>
      <c r="R16" s="5">
        <v>3</v>
      </c>
      <c r="S16" s="5" t="s">
        <v>47</v>
      </c>
      <c r="T16" s="5" t="s">
        <v>75</v>
      </c>
      <c r="U16" s="5" t="s">
        <v>46</v>
      </c>
    </row>
    <row r="17" spans="1:21">
      <c r="A17" s="5">
        <v>5827</v>
      </c>
      <c r="B17" s="5" t="s">
        <v>108</v>
      </c>
      <c r="C17" s="5" t="s">
        <v>37</v>
      </c>
      <c r="D17" s="5">
        <v>57</v>
      </c>
      <c r="E17" s="5" t="s">
        <v>68</v>
      </c>
      <c r="F17" s="5" t="s">
        <v>49</v>
      </c>
      <c r="G17" s="5" t="s">
        <v>72</v>
      </c>
      <c r="H17" s="5" t="s">
        <v>41</v>
      </c>
      <c r="I17" s="5" t="s">
        <v>109</v>
      </c>
      <c r="J17" s="5" t="s">
        <v>110</v>
      </c>
      <c r="K17" s="5" t="s">
        <v>111</v>
      </c>
      <c r="L17" s="5" t="s">
        <v>54</v>
      </c>
      <c r="M17" s="5">
        <v>96429</v>
      </c>
      <c r="N17" s="5" t="s">
        <v>31</v>
      </c>
      <c r="O17" s="5">
        <v>4740</v>
      </c>
      <c r="P17" s="5" t="s">
        <v>46</v>
      </c>
      <c r="Q17" s="5">
        <v>8</v>
      </c>
      <c r="R17" s="5">
        <v>1</v>
      </c>
      <c r="S17" s="5" t="s">
        <v>47</v>
      </c>
      <c r="T17" s="5" t="s">
        <v>66</v>
      </c>
      <c r="U17" s="5" t="s">
        <v>46</v>
      </c>
    </row>
    <row r="18" spans="1:21">
      <c r="A18" s="5">
        <v>5184</v>
      </c>
      <c r="B18" s="5" t="s">
        <v>112</v>
      </c>
      <c r="C18" s="5" t="s">
        <v>22</v>
      </c>
      <c r="D18" s="5">
        <v>24</v>
      </c>
      <c r="E18" s="5" t="s">
        <v>23</v>
      </c>
      <c r="F18" s="5" t="s">
        <v>39</v>
      </c>
      <c r="G18" s="5" t="s">
        <v>50</v>
      </c>
      <c r="H18" s="5" t="s">
        <v>51</v>
      </c>
      <c r="I18" s="5" t="s">
        <v>113</v>
      </c>
      <c r="J18" s="5" t="s">
        <v>114</v>
      </c>
      <c r="K18" s="5" t="s">
        <v>111</v>
      </c>
      <c r="L18" s="5" t="s">
        <v>54</v>
      </c>
      <c r="M18" s="5">
        <v>33183</v>
      </c>
      <c r="N18" s="5" t="s">
        <v>64</v>
      </c>
      <c r="O18" s="5">
        <v>8114</v>
      </c>
      <c r="P18" s="5" t="s">
        <v>46</v>
      </c>
      <c r="Q18" s="5">
        <v>4</v>
      </c>
      <c r="R18" s="5">
        <v>2</v>
      </c>
      <c r="S18" s="5" t="s">
        <v>47</v>
      </c>
      <c r="T18" s="5" t="s">
        <v>96</v>
      </c>
      <c r="U18" s="5" t="s">
        <v>57</v>
      </c>
    </row>
    <row r="19" spans="1:21">
      <c r="A19" s="5">
        <v>5874</v>
      </c>
      <c r="B19" s="5" t="s">
        <v>58</v>
      </c>
      <c r="C19" s="5" t="s">
        <v>22</v>
      </c>
      <c r="D19" s="5">
        <v>35</v>
      </c>
      <c r="E19" s="5" t="s">
        <v>38</v>
      </c>
      <c r="F19" s="5" t="s">
        <v>102</v>
      </c>
      <c r="G19" s="5" t="s">
        <v>72</v>
      </c>
      <c r="H19" s="5" t="s">
        <v>26</v>
      </c>
      <c r="I19" s="5" t="s">
        <v>115</v>
      </c>
      <c r="J19" s="5" t="s">
        <v>116</v>
      </c>
      <c r="K19" s="5" t="s">
        <v>111</v>
      </c>
      <c r="L19" s="5" t="s">
        <v>30</v>
      </c>
      <c r="M19" s="5">
        <v>75065</v>
      </c>
      <c r="N19" s="5" t="s">
        <v>31</v>
      </c>
      <c r="O19" s="5">
        <v>7123</v>
      </c>
      <c r="P19" s="5" t="s">
        <v>46</v>
      </c>
      <c r="Q19" s="5">
        <v>20</v>
      </c>
      <c r="R19" s="5">
        <v>2</v>
      </c>
      <c r="S19" s="5" t="s">
        <v>46</v>
      </c>
      <c r="T19" s="5" t="s">
        <v>34</v>
      </c>
      <c r="U19" s="5" t="s">
        <v>57</v>
      </c>
    </row>
    <row r="20" spans="1:21">
      <c r="A20" s="5">
        <v>9834</v>
      </c>
      <c r="B20" s="5" t="s">
        <v>117</v>
      </c>
      <c r="C20" s="5" t="s">
        <v>37</v>
      </c>
      <c r="D20" s="5">
        <v>41</v>
      </c>
      <c r="E20" s="5" t="s">
        <v>59</v>
      </c>
      <c r="F20" s="5" t="s">
        <v>39</v>
      </c>
      <c r="G20" s="5" t="s">
        <v>40</v>
      </c>
      <c r="H20" s="5" t="s">
        <v>81</v>
      </c>
      <c r="I20" s="5" t="s">
        <v>118</v>
      </c>
      <c r="J20" s="5" t="s">
        <v>119</v>
      </c>
      <c r="K20" s="5" t="s">
        <v>29</v>
      </c>
      <c r="L20" s="5" t="s">
        <v>54</v>
      </c>
      <c r="M20" s="5">
        <v>32877</v>
      </c>
      <c r="N20" s="5" t="s">
        <v>31</v>
      </c>
      <c r="O20" s="5">
        <v>6432</v>
      </c>
      <c r="P20" s="5" t="s">
        <v>32</v>
      </c>
      <c r="Q20" s="5">
        <v>11</v>
      </c>
      <c r="R20" s="5">
        <v>1</v>
      </c>
      <c r="S20" s="5" t="s">
        <v>46</v>
      </c>
      <c r="T20" s="5" t="s">
        <v>34</v>
      </c>
      <c r="U20" s="5" t="s">
        <v>46</v>
      </c>
    </row>
    <row r="21" spans="1:21">
      <c r="A21" s="5">
        <v>5096</v>
      </c>
      <c r="B21" s="5" t="s">
        <v>120</v>
      </c>
      <c r="C21" s="5" t="s">
        <v>37</v>
      </c>
      <c r="D21" s="5">
        <v>36</v>
      </c>
      <c r="E21" s="5" t="s">
        <v>59</v>
      </c>
      <c r="F21" s="5" t="s">
        <v>39</v>
      </c>
      <c r="G21" s="5" t="s">
        <v>121</v>
      </c>
      <c r="H21" s="5" t="s">
        <v>60</v>
      </c>
      <c r="I21" s="5" t="s">
        <v>122</v>
      </c>
      <c r="J21" s="5" t="s">
        <v>123</v>
      </c>
      <c r="K21" s="5" t="s">
        <v>29</v>
      </c>
      <c r="L21" s="5" t="s">
        <v>44</v>
      </c>
      <c r="M21" s="5">
        <v>46811</v>
      </c>
      <c r="N21" s="5" t="s">
        <v>55</v>
      </c>
      <c r="O21" s="5">
        <v>1567</v>
      </c>
      <c r="P21" s="5" t="s">
        <v>46</v>
      </c>
      <c r="Q21" s="5">
        <v>7</v>
      </c>
      <c r="R21" s="5">
        <v>3</v>
      </c>
      <c r="S21" s="5" t="s">
        <v>47</v>
      </c>
      <c r="T21" s="5" t="s">
        <v>34</v>
      </c>
      <c r="U21" s="5" t="s">
        <v>57</v>
      </c>
    </row>
    <row r="22" spans="1:21">
      <c r="A22" s="5">
        <v>2263</v>
      </c>
      <c r="B22" s="5" t="s">
        <v>124</v>
      </c>
      <c r="C22" s="5" t="s">
        <v>37</v>
      </c>
      <c r="D22" s="5">
        <v>31</v>
      </c>
      <c r="E22" s="5" t="s">
        <v>38</v>
      </c>
      <c r="F22" s="5" t="s">
        <v>80</v>
      </c>
      <c r="G22" s="5" t="s">
        <v>50</v>
      </c>
      <c r="H22" s="5" t="s">
        <v>41</v>
      </c>
      <c r="I22" s="5" t="s">
        <v>125</v>
      </c>
      <c r="J22" s="5" t="s">
        <v>126</v>
      </c>
      <c r="K22" s="5" t="s">
        <v>63</v>
      </c>
      <c r="L22" s="5" t="s">
        <v>44</v>
      </c>
      <c r="M22" s="5">
        <v>87538</v>
      </c>
      <c r="N22" s="5" t="s">
        <v>31</v>
      </c>
      <c r="O22" s="5">
        <v>3588</v>
      </c>
      <c r="P22" s="5" t="s">
        <v>65</v>
      </c>
      <c r="Q22" s="5">
        <v>11</v>
      </c>
      <c r="R22" s="5">
        <v>5</v>
      </c>
      <c r="S22" s="5" t="s">
        <v>47</v>
      </c>
      <c r="T22" s="5" t="s">
        <v>66</v>
      </c>
      <c r="U22" s="5" t="s">
        <v>46</v>
      </c>
    </row>
    <row r="23" spans="1:21">
      <c r="A23" s="5">
        <v>6505</v>
      </c>
      <c r="B23" s="5" t="s">
        <v>127</v>
      </c>
      <c r="C23" s="5" t="s">
        <v>22</v>
      </c>
      <c r="D23" s="5">
        <v>28</v>
      </c>
      <c r="E23" s="5" t="s">
        <v>38</v>
      </c>
      <c r="F23" s="5" t="s">
        <v>24</v>
      </c>
      <c r="G23" s="5" t="s">
        <v>40</v>
      </c>
      <c r="H23" s="5" t="s">
        <v>81</v>
      </c>
      <c r="I23" s="5" t="s">
        <v>128</v>
      </c>
      <c r="J23" s="5" t="s">
        <v>129</v>
      </c>
      <c r="K23" s="5" t="s">
        <v>29</v>
      </c>
      <c r="L23" s="5" t="s">
        <v>44</v>
      </c>
      <c r="M23" s="5">
        <v>73002</v>
      </c>
      <c r="N23" s="5" t="s">
        <v>31</v>
      </c>
      <c r="O23" s="5">
        <v>6296</v>
      </c>
      <c r="P23" s="5" t="s">
        <v>32</v>
      </c>
      <c r="Q23" s="5">
        <v>2</v>
      </c>
      <c r="R23" s="5">
        <v>5</v>
      </c>
      <c r="S23" s="5" t="s">
        <v>47</v>
      </c>
      <c r="T23" s="5" t="s">
        <v>56</v>
      </c>
      <c r="U23" s="5" t="s">
        <v>35</v>
      </c>
    </row>
    <row r="24" spans="1:21">
      <c r="A24" s="5">
        <v>8626</v>
      </c>
      <c r="B24" s="5" t="s">
        <v>130</v>
      </c>
      <c r="C24" s="5" t="s">
        <v>37</v>
      </c>
      <c r="D24" s="5">
        <v>37</v>
      </c>
      <c r="E24" s="5" t="s">
        <v>59</v>
      </c>
      <c r="F24" s="5" t="s">
        <v>80</v>
      </c>
      <c r="G24" s="5" t="s">
        <v>40</v>
      </c>
      <c r="H24" s="5" t="s">
        <v>60</v>
      </c>
      <c r="I24" s="5" t="s">
        <v>131</v>
      </c>
      <c r="J24" s="5" t="s">
        <v>132</v>
      </c>
      <c r="K24" s="5" t="s">
        <v>111</v>
      </c>
      <c r="L24" s="5" t="s">
        <v>54</v>
      </c>
      <c r="M24" s="5">
        <v>41653</v>
      </c>
      <c r="N24" s="5" t="s">
        <v>55</v>
      </c>
      <c r="O24" s="5">
        <v>9236</v>
      </c>
      <c r="P24" s="5" t="s">
        <v>46</v>
      </c>
      <c r="Q24" s="5">
        <v>13</v>
      </c>
      <c r="R24" s="5">
        <v>1</v>
      </c>
      <c r="S24" s="5" t="s">
        <v>47</v>
      </c>
      <c r="T24" s="5" t="s">
        <v>34</v>
      </c>
      <c r="U24" s="5" t="s">
        <v>46</v>
      </c>
    </row>
    <row r="25" spans="1:21">
      <c r="A25" s="5">
        <v>5979</v>
      </c>
      <c r="B25" s="5" t="s">
        <v>133</v>
      </c>
      <c r="C25" s="5" t="s">
        <v>22</v>
      </c>
      <c r="D25" s="5">
        <v>31</v>
      </c>
      <c r="E25" s="5" t="s">
        <v>38</v>
      </c>
      <c r="F25" s="5" t="s">
        <v>24</v>
      </c>
      <c r="G25" s="5" t="s">
        <v>25</v>
      </c>
      <c r="H25" s="5" t="s">
        <v>51</v>
      </c>
      <c r="I25" s="5" t="s">
        <v>134</v>
      </c>
      <c r="J25" s="5" t="s">
        <v>135</v>
      </c>
      <c r="K25" s="5" t="s">
        <v>63</v>
      </c>
      <c r="L25" s="5" t="s">
        <v>44</v>
      </c>
      <c r="M25" s="5">
        <v>67582</v>
      </c>
      <c r="N25" s="5" t="s">
        <v>64</v>
      </c>
      <c r="O25" s="5">
        <v>1375</v>
      </c>
      <c r="P25" s="5" t="s">
        <v>32</v>
      </c>
      <c r="Q25" s="5">
        <v>20</v>
      </c>
      <c r="R25" s="5">
        <v>3</v>
      </c>
      <c r="S25" s="5" t="s">
        <v>47</v>
      </c>
      <c r="T25" s="5" t="s">
        <v>56</v>
      </c>
      <c r="U25" s="5" t="s">
        <v>46</v>
      </c>
    </row>
    <row r="26" spans="1:21">
      <c r="A26" s="5">
        <v>3104</v>
      </c>
      <c r="B26" s="5" t="s">
        <v>136</v>
      </c>
      <c r="C26" s="5" t="s">
        <v>22</v>
      </c>
      <c r="D26" s="5">
        <v>23</v>
      </c>
      <c r="E26" s="5" t="s">
        <v>23</v>
      </c>
      <c r="F26" s="5" t="s">
        <v>80</v>
      </c>
      <c r="G26" s="5" t="s">
        <v>40</v>
      </c>
      <c r="H26" s="5" t="s">
        <v>41</v>
      </c>
      <c r="I26" s="5" t="s">
        <v>137</v>
      </c>
      <c r="J26" s="5" t="s">
        <v>138</v>
      </c>
      <c r="K26" s="5" t="s">
        <v>111</v>
      </c>
      <c r="L26" s="5" t="s">
        <v>44</v>
      </c>
      <c r="M26" s="5">
        <v>37351</v>
      </c>
      <c r="N26" s="5" t="s">
        <v>55</v>
      </c>
      <c r="O26" s="5">
        <v>7858</v>
      </c>
      <c r="P26" s="5" t="s">
        <v>65</v>
      </c>
      <c r="Q26" s="5">
        <v>18</v>
      </c>
      <c r="R26" s="5">
        <v>2</v>
      </c>
      <c r="S26" s="5" t="s">
        <v>33</v>
      </c>
      <c r="T26" s="5" t="s">
        <v>56</v>
      </c>
      <c r="U26" s="5" t="s">
        <v>57</v>
      </c>
    </row>
    <row r="27" spans="1:21">
      <c r="A27" s="5">
        <v>8967</v>
      </c>
      <c r="B27" s="5" t="s">
        <v>139</v>
      </c>
      <c r="C27" s="5" t="s">
        <v>22</v>
      </c>
      <c r="D27" s="5">
        <v>48</v>
      </c>
      <c r="E27" s="5" t="s">
        <v>98</v>
      </c>
      <c r="F27" s="5" t="s">
        <v>102</v>
      </c>
      <c r="G27" s="5" t="s">
        <v>50</v>
      </c>
      <c r="H27" s="5" t="s">
        <v>26</v>
      </c>
      <c r="I27" s="5" t="s">
        <v>140</v>
      </c>
      <c r="J27" s="5" t="s">
        <v>141</v>
      </c>
      <c r="K27" s="5" t="s">
        <v>29</v>
      </c>
      <c r="L27" s="5" t="s">
        <v>44</v>
      </c>
      <c r="M27" s="5">
        <v>36721</v>
      </c>
      <c r="N27" s="5" t="s">
        <v>45</v>
      </c>
      <c r="O27" s="5">
        <v>8820</v>
      </c>
      <c r="P27" s="5" t="s">
        <v>65</v>
      </c>
      <c r="Q27" s="5">
        <v>0</v>
      </c>
      <c r="R27" s="5">
        <v>2</v>
      </c>
      <c r="S27" s="5" t="s">
        <v>47</v>
      </c>
      <c r="T27" s="5" t="s">
        <v>56</v>
      </c>
      <c r="U27" s="5" t="s">
        <v>35</v>
      </c>
    </row>
    <row r="28" spans="1:21">
      <c r="A28" s="5">
        <v>5087</v>
      </c>
      <c r="B28" s="5" t="s">
        <v>142</v>
      </c>
      <c r="C28" s="5" t="s">
        <v>37</v>
      </c>
      <c r="D28" s="5">
        <v>28</v>
      </c>
      <c r="E28" s="5" t="s">
        <v>38</v>
      </c>
      <c r="F28" s="5" t="s">
        <v>49</v>
      </c>
      <c r="G28" s="5" t="s">
        <v>121</v>
      </c>
      <c r="H28" s="5" t="s">
        <v>26</v>
      </c>
      <c r="I28" s="5" t="s">
        <v>143</v>
      </c>
      <c r="J28" s="5" t="s">
        <v>144</v>
      </c>
      <c r="K28" s="5" t="s">
        <v>63</v>
      </c>
      <c r="L28" s="5" t="s">
        <v>54</v>
      </c>
      <c r="M28" s="5">
        <v>46326</v>
      </c>
      <c r="N28" s="5" t="s">
        <v>45</v>
      </c>
      <c r="O28" s="5">
        <v>9189</v>
      </c>
      <c r="P28" s="5" t="s">
        <v>65</v>
      </c>
      <c r="Q28" s="5">
        <v>8</v>
      </c>
      <c r="R28" s="5">
        <v>4</v>
      </c>
      <c r="S28" s="5" t="s">
        <v>33</v>
      </c>
      <c r="T28" s="5" t="s">
        <v>75</v>
      </c>
      <c r="U28" s="5" t="s">
        <v>57</v>
      </c>
    </row>
    <row r="29" spans="1:21">
      <c r="A29" s="5">
        <v>3358</v>
      </c>
      <c r="B29" s="5" t="s">
        <v>145</v>
      </c>
      <c r="C29" s="5" t="s">
        <v>37</v>
      </c>
      <c r="D29" s="5">
        <v>30</v>
      </c>
      <c r="E29" s="5" t="s">
        <v>38</v>
      </c>
      <c r="F29" s="5" t="s">
        <v>39</v>
      </c>
      <c r="G29" s="5" t="s">
        <v>72</v>
      </c>
      <c r="H29" s="5" t="s">
        <v>41</v>
      </c>
      <c r="I29" s="5" t="s">
        <v>146</v>
      </c>
      <c r="J29" s="5" t="s">
        <v>147</v>
      </c>
      <c r="K29" s="5" t="s">
        <v>29</v>
      </c>
      <c r="L29" s="5" t="s">
        <v>30</v>
      </c>
      <c r="M29" s="5">
        <v>59007</v>
      </c>
      <c r="N29" s="5" t="s">
        <v>31</v>
      </c>
      <c r="O29" s="5">
        <v>3380</v>
      </c>
      <c r="P29" s="5" t="s">
        <v>32</v>
      </c>
      <c r="Q29" s="5">
        <v>17</v>
      </c>
      <c r="R29" s="5">
        <v>3</v>
      </c>
      <c r="S29" s="5" t="s">
        <v>46</v>
      </c>
      <c r="T29" s="5" t="s">
        <v>96</v>
      </c>
      <c r="U29" s="5" t="s">
        <v>35</v>
      </c>
    </row>
    <row r="30" spans="1:21">
      <c r="A30" s="5">
        <v>8256</v>
      </c>
      <c r="B30" s="5" t="s">
        <v>148</v>
      </c>
      <c r="C30" s="5" t="s">
        <v>37</v>
      </c>
      <c r="D30" s="5">
        <v>46</v>
      </c>
      <c r="E30" s="5" t="s">
        <v>98</v>
      </c>
      <c r="F30" s="5" t="s">
        <v>80</v>
      </c>
      <c r="G30" s="5" t="s">
        <v>25</v>
      </c>
      <c r="H30" s="5" t="s">
        <v>60</v>
      </c>
      <c r="I30" s="5" t="s">
        <v>149</v>
      </c>
      <c r="J30" s="5" t="s">
        <v>150</v>
      </c>
      <c r="K30" s="5" t="s">
        <v>29</v>
      </c>
      <c r="L30" s="5" t="s">
        <v>44</v>
      </c>
      <c r="M30" s="5">
        <v>52020</v>
      </c>
      <c r="N30" s="5" t="s">
        <v>45</v>
      </c>
      <c r="O30" s="5">
        <v>9585</v>
      </c>
      <c r="P30" s="5" t="s">
        <v>65</v>
      </c>
      <c r="Q30" s="5">
        <v>0</v>
      </c>
      <c r="R30" s="5">
        <v>4</v>
      </c>
      <c r="S30" s="5" t="s">
        <v>47</v>
      </c>
      <c r="T30" s="5" t="s">
        <v>96</v>
      </c>
      <c r="U30" s="5" t="s">
        <v>46</v>
      </c>
    </row>
    <row r="31" spans="1:21">
      <c r="A31" s="5">
        <v>5763</v>
      </c>
      <c r="B31" s="5" t="s">
        <v>151</v>
      </c>
      <c r="C31" s="5" t="s">
        <v>37</v>
      </c>
      <c r="D31" s="5">
        <v>44</v>
      </c>
      <c r="E31" s="5" t="s">
        <v>59</v>
      </c>
      <c r="F31" s="5" t="s">
        <v>39</v>
      </c>
      <c r="G31" s="5" t="s">
        <v>50</v>
      </c>
      <c r="H31" s="5" t="s">
        <v>41</v>
      </c>
      <c r="I31" s="5" t="s">
        <v>152</v>
      </c>
      <c r="J31" s="5" t="s">
        <v>153</v>
      </c>
      <c r="K31" s="5" t="s">
        <v>111</v>
      </c>
      <c r="L31" s="5" t="s">
        <v>44</v>
      </c>
      <c r="M31" s="5">
        <v>98961</v>
      </c>
      <c r="N31" s="5" t="s">
        <v>55</v>
      </c>
      <c r="O31" s="5">
        <v>2688</v>
      </c>
      <c r="P31" s="5" t="s">
        <v>32</v>
      </c>
      <c r="Q31" s="5">
        <v>2</v>
      </c>
      <c r="R31" s="5">
        <v>5</v>
      </c>
      <c r="S31" s="5" t="s">
        <v>47</v>
      </c>
      <c r="T31" s="5" t="s">
        <v>96</v>
      </c>
      <c r="U31" s="5" t="s">
        <v>35</v>
      </c>
    </row>
    <row r="32" spans="1:21">
      <c r="A32" s="5">
        <v>6838</v>
      </c>
      <c r="B32" s="5" t="s">
        <v>154</v>
      </c>
      <c r="C32" s="5" t="s">
        <v>37</v>
      </c>
      <c r="D32" s="5">
        <v>45</v>
      </c>
      <c r="E32" s="5" t="s">
        <v>59</v>
      </c>
      <c r="F32" s="5" t="s">
        <v>49</v>
      </c>
      <c r="G32" s="5" t="s">
        <v>72</v>
      </c>
      <c r="H32" s="5" t="s">
        <v>51</v>
      </c>
      <c r="I32" s="5" t="s">
        <v>155</v>
      </c>
      <c r="J32" s="5" t="s">
        <v>156</v>
      </c>
      <c r="K32" s="5" t="s">
        <v>111</v>
      </c>
      <c r="L32" s="5" t="s">
        <v>44</v>
      </c>
      <c r="M32" s="5">
        <v>81943</v>
      </c>
      <c r="N32" s="5" t="s">
        <v>31</v>
      </c>
      <c r="O32" s="5">
        <v>2255</v>
      </c>
      <c r="P32" s="5" t="s">
        <v>32</v>
      </c>
      <c r="Q32" s="5">
        <v>18</v>
      </c>
      <c r="R32" s="5">
        <v>2</v>
      </c>
      <c r="S32" s="5" t="s">
        <v>46</v>
      </c>
      <c r="T32" s="5" t="s">
        <v>66</v>
      </c>
      <c r="U32" s="5" t="s">
        <v>35</v>
      </c>
    </row>
    <row r="33" spans="1:21">
      <c r="A33" s="5">
        <v>9544</v>
      </c>
      <c r="B33" s="5" t="s">
        <v>157</v>
      </c>
      <c r="C33" s="5" t="s">
        <v>37</v>
      </c>
      <c r="D33" s="5">
        <v>52</v>
      </c>
      <c r="E33" s="5" t="s">
        <v>98</v>
      </c>
      <c r="F33" s="5" t="s">
        <v>102</v>
      </c>
      <c r="G33" s="5" t="s">
        <v>50</v>
      </c>
      <c r="H33" s="5" t="s">
        <v>41</v>
      </c>
      <c r="I33" s="5" t="s">
        <v>158</v>
      </c>
      <c r="J33" s="5" t="s">
        <v>159</v>
      </c>
      <c r="K33" s="5" t="s">
        <v>111</v>
      </c>
      <c r="L33" s="5" t="s">
        <v>44</v>
      </c>
      <c r="M33" s="5">
        <v>47627</v>
      </c>
      <c r="N33" s="5" t="s">
        <v>31</v>
      </c>
      <c r="O33" s="5">
        <v>1221</v>
      </c>
      <c r="P33" s="5" t="s">
        <v>46</v>
      </c>
      <c r="Q33" s="5">
        <v>4</v>
      </c>
      <c r="R33" s="5">
        <v>3</v>
      </c>
      <c r="S33" s="5" t="s">
        <v>46</v>
      </c>
      <c r="T33" s="5" t="s">
        <v>56</v>
      </c>
      <c r="U33" s="5" t="s">
        <v>46</v>
      </c>
    </row>
    <row r="34" spans="1:21">
      <c r="A34" s="5">
        <v>8012</v>
      </c>
      <c r="B34" s="5" t="s">
        <v>160</v>
      </c>
      <c r="C34" s="5" t="s">
        <v>22</v>
      </c>
      <c r="D34" s="5">
        <v>52</v>
      </c>
      <c r="E34" s="5" t="s">
        <v>98</v>
      </c>
      <c r="F34" s="5" t="s">
        <v>24</v>
      </c>
      <c r="G34" s="5" t="s">
        <v>25</v>
      </c>
      <c r="H34" s="5" t="s">
        <v>81</v>
      </c>
      <c r="I34" s="5" t="s">
        <v>161</v>
      </c>
      <c r="J34" s="5" t="s">
        <v>162</v>
      </c>
      <c r="K34" s="5" t="s">
        <v>111</v>
      </c>
      <c r="L34" s="5" t="s">
        <v>44</v>
      </c>
      <c r="M34" s="5">
        <v>56162</v>
      </c>
      <c r="N34" s="5" t="s">
        <v>55</v>
      </c>
      <c r="O34" s="5">
        <v>6560</v>
      </c>
      <c r="P34" s="5" t="s">
        <v>65</v>
      </c>
      <c r="Q34" s="5">
        <v>9</v>
      </c>
      <c r="R34" s="5">
        <v>4</v>
      </c>
      <c r="S34" s="5" t="s">
        <v>47</v>
      </c>
      <c r="T34" s="5" t="s">
        <v>75</v>
      </c>
      <c r="U34" s="5" t="s">
        <v>46</v>
      </c>
    </row>
    <row r="35" spans="1:21">
      <c r="A35" s="5">
        <v>9374</v>
      </c>
      <c r="B35" s="5" t="s">
        <v>163</v>
      </c>
      <c r="C35" s="5" t="s">
        <v>22</v>
      </c>
      <c r="D35" s="5">
        <v>42</v>
      </c>
      <c r="E35" s="5" t="s">
        <v>59</v>
      </c>
      <c r="F35" s="5" t="s">
        <v>39</v>
      </c>
      <c r="G35" s="5" t="s">
        <v>50</v>
      </c>
      <c r="H35" s="5" t="s">
        <v>51</v>
      </c>
      <c r="I35" s="5" t="s">
        <v>164</v>
      </c>
      <c r="J35" s="5" t="s">
        <v>165</v>
      </c>
      <c r="K35" s="5" t="s">
        <v>63</v>
      </c>
      <c r="L35" s="5" t="s">
        <v>54</v>
      </c>
      <c r="M35" s="5">
        <v>95734</v>
      </c>
      <c r="N35" s="5" t="s">
        <v>31</v>
      </c>
      <c r="O35" s="5">
        <v>4854</v>
      </c>
      <c r="P35" s="5" t="s">
        <v>32</v>
      </c>
      <c r="Q35" s="5">
        <v>13</v>
      </c>
      <c r="R35" s="5">
        <v>2</v>
      </c>
      <c r="S35" s="5" t="s">
        <v>33</v>
      </c>
      <c r="T35" s="5" t="s">
        <v>34</v>
      </c>
      <c r="U35" s="5" t="s">
        <v>35</v>
      </c>
    </row>
    <row r="36" spans="1:21">
      <c r="A36" s="5">
        <v>3487</v>
      </c>
      <c r="B36" s="5" t="s">
        <v>166</v>
      </c>
      <c r="C36" s="5" t="s">
        <v>37</v>
      </c>
      <c r="D36" s="5">
        <v>58</v>
      </c>
      <c r="E36" s="5" t="s">
        <v>68</v>
      </c>
      <c r="F36" s="5" t="s">
        <v>39</v>
      </c>
      <c r="G36" s="5" t="s">
        <v>40</v>
      </c>
      <c r="H36" s="5" t="s">
        <v>60</v>
      </c>
      <c r="I36" s="5" t="s">
        <v>167</v>
      </c>
      <c r="J36" s="5" t="s">
        <v>168</v>
      </c>
      <c r="K36" s="5" t="s">
        <v>63</v>
      </c>
      <c r="L36" s="5" t="s">
        <v>54</v>
      </c>
      <c r="M36" s="5">
        <v>74789</v>
      </c>
      <c r="N36" s="5" t="s">
        <v>31</v>
      </c>
      <c r="O36" s="5">
        <v>8101</v>
      </c>
      <c r="P36" s="5" t="s">
        <v>65</v>
      </c>
      <c r="Q36" s="5">
        <v>14</v>
      </c>
      <c r="R36" s="5">
        <v>5</v>
      </c>
      <c r="S36" s="5" t="s">
        <v>47</v>
      </c>
      <c r="T36" s="5" t="s">
        <v>66</v>
      </c>
      <c r="U36" s="5" t="s">
        <v>46</v>
      </c>
    </row>
    <row r="37" spans="1:21">
      <c r="A37" s="5">
        <v>8445</v>
      </c>
      <c r="B37" s="5" t="s">
        <v>169</v>
      </c>
      <c r="C37" s="5" t="s">
        <v>22</v>
      </c>
      <c r="D37" s="5">
        <v>24</v>
      </c>
      <c r="E37" s="5" t="s">
        <v>23</v>
      </c>
      <c r="F37" s="5" t="s">
        <v>102</v>
      </c>
      <c r="G37" s="5" t="s">
        <v>25</v>
      </c>
      <c r="H37" s="5" t="s">
        <v>60</v>
      </c>
      <c r="I37" s="5" t="s">
        <v>170</v>
      </c>
      <c r="J37" s="5" t="s">
        <v>171</v>
      </c>
      <c r="K37" s="5" t="s">
        <v>29</v>
      </c>
      <c r="L37" s="5" t="s">
        <v>54</v>
      </c>
      <c r="M37" s="5">
        <v>30137</v>
      </c>
      <c r="N37" s="5" t="s">
        <v>45</v>
      </c>
      <c r="O37" s="5">
        <v>4031</v>
      </c>
      <c r="P37" s="5" t="s">
        <v>46</v>
      </c>
      <c r="Q37" s="5">
        <v>5</v>
      </c>
      <c r="R37" s="5">
        <v>3</v>
      </c>
      <c r="S37" s="5" t="s">
        <v>46</v>
      </c>
      <c r="T37" s="5" t="s">
        <v>56</v>
      </c>
      <c r="U37" s="5" t="s">
        <v>35</v>
      </c>
    </row>
    <row r="38" spans="1:21">
      <c r="A38" s="5">
        <v>1550</v>
      </c>
      <c r="B38" s="5" t="s">
        <v>172</v>
      </c>
      <c r="C38" s="5" t="s">
        <v>37</v>
      </c>
      <c r="D38" s="5">
        <v>21</v>
      </c>
      <c r="E38" s="5" t="s">
        <v>23</v>
      </c>
      <c r="F38" s="5" t="s">
        <v>39</v>
      </c>
      <c r="G38" s="5" t="s">
        <v>25</v>
      </c>
      <c r="H38" s="5" t="s">
        <v>26</v>
      </c>
      <c r="I38" s="5" t="s">
        <v>173</v>
      </c>
      <c r="J38" s="5" t="s">
        <v>174</v>
      </c>
      <c r="K38" s="5" t="s">
        <v>29</v>
      </c>
      <c r="L38" s="5" t="s">
        <v>54</v>
      </c>
      <c r="M38" s="5">
        <v>95510</v>
      </c>
      <c r="N38" s="5" t="s">
        <v>31</v>
      </c>
      <c r="O38" s="5">
        <v>6811</v>
      </c>
      <c r="P38" s="5" t="s">
        <v>32</v>
      </c>
      <c r="Q38" s="5">
        <v>18</v>
      </c>
      <c r="R38" s="5">
        <v>4</v>
      </c>
      <c r="S38" s="5" t="s">
        <v>47</v>
      </c>
      <c r="T38" s="5" t="s">
        <v>96</v>
      </c>
      <c r="U38" s="5" t="s">
        <v>35</v>
      </c>
    </row>
    <row r="39" spans="1:21">
      <c r="A39" s="5">
        <v>9968</v>
      </c>
      <c r="B39" s="5" t="s">
        <v>175</v>
      </c>
      <c r="C39" s="5" t="s">
        <v>37</v>
      </c>
      <c r="D39" s="5">
        <v>58</v>
      </c>
      <c r="E39" s="5" t="s">
        <v>68</v>
      </c>
      <c r="F39" s="5" t="s">
        <v>39</v>
      </c>
      <c r="G39" s="5" t="s">
        <v>72</v>
      </c>
      <c r="H39" s="5" t="s">
        <v>26</v>
      </c>
      <c r="I39" s="5" t="s">
        <v>176</v>
      </c>
      <c r="J39" s="5" t="s">
        <v>177</v>
      </c>
      <c r="K39" s="5" t="s">
        <v>63</v>
      </c>
      <c r="L39" s="5" t="s">
        <v>30</v>
      </c>
      <c r="M39" s="5">
        <v>80325</v>
      </c>
      <c r="N39" s="5" t="s">
        <v>45</v>
      </c>
      <c r="O39" s="5">
        <v>6230</v>
      </c>
      <c r="P39" s="5" t="s">
        <v>32</v>
      </c>
      <c r="Q39" s="5">
        <v>5</v>
      </c>
      <c r="R39" s="5">
        <v>4</v>
      </c>
      <c r="S39" s="5" t="s">
        <v>46</v>
      </c>
      <c r="T39" s="5" t="s">
        <v>66</v>
      </c>
      <c r="U39" s="5" t="s">
        <v>57</v>
      </c>
    </row>
    <row r="40" spans="1:21">
      <c r="A40" s="5">
        <v>8029</v>
      </c>
      <c r="B40" s="5" t="s">
        <v>178</v>
      </c>
      <c r="C40" s="5" t="s">
        <v>22</v>
      </c>
      <c r="D40" s="5">
        <v>57</v>
      </c>
      <c r="E40" s="5" t="s">
        <v>68</v>
      </c>
      <c r="F40" s="5" t="s">
        <v>80</v>
      </c>
      <c r="G40" s="5" t="s">
        <v>121</v>
      </c>
      <c r="H40" s="5" t="s">
        <v>81</v>
      </c>
      <c r="I40" s="5" t="s">
        <v>179</v>
      </c>
      <c r="J40" s="5" t="s">
        <v>180</v>
      </c>
      <c r="K40" s="5" t="s">
        <v>111</v>
      </c>
      <c r="L40" s="5" t="s">
        <v>44</v>
      </c>
      <c r="M40" s="5">
        <v>34109</v>
      </c>
      <c r="N40" s="5" t="s">
        <v>45</v>
      </c>
      <c r="O40" s="5">
        <v>9232</v>
      </c>
      <c r="P40" s="5" t="s">
        <v>32</v>
      </c>
      <c r="Q40" s="5">
        <v>13</v>
      </c>
      <c r="R40" s="5">
        <v>3</v>
      </c>
      <c r="S40" s="5" t="s">
        <v>33</v>
      </c>
      <c r="T40" s="5" t="s">
        <v>34</v>
      </c>
      <c r="U40" s="5" t="s">
        <v>35</v>
      </c>
    </row>
    <row r="41" spans="1:21">
      <c r="A41" s="5">
        <v>8847</v>
      </c>
      <c r="B41" s="5" t="s">
        <v>181</v>
      </c>
      <c r="C41" s="5" t="s">
        <v>37</v>
      </c>
      <c r="D41" s="5">
        <v>41</v>
      </c>
      <c r="E41" s="5" t="s">
        <v>59</v>
      </c>
      <c r="F41" s="5" t="s">
        <v>80</v>
      </c>
      <c r="G41" s="5" t="s">
        <v>72</v>
      </c>
      <c r="H41" s="5" t="s">
        <v>26</v>
      </c>
      <c r="I41" s="5" t="s">
        <v>182</v>
      </c>
      <c r="J41" s="5" t="s">
        <v>183</v>
      </c>
      <c r="K41" s="5" t="s">
        <v>111</v>
      </c>
      <c r="L41" s="5" t="s">
        <v>54</v>
      </c>
      <c r="M41" s="5">
        <v>73330</v>
      </c>
      <c r="N41" s="5" t="s">
        <v>31</v>
      </c>
      <c r="O41" s="5">
        <v>2276</v>
      </c>
      <c r="P41" s="5" t="s">
        <v>65</v>
      </c>
      <c r="Q41" s="5">
        <v>5</v>
      </c>
      <c r="R41" s="5">
        <v>1</v>
      </c>
      <c r="S41" s="5" t="s">
        <v>46</v>
      </c>
      <c r="T41" s="5" t="s">
        <v>56</v>
      </c>
      <c r="U41" s="5" t="s">
        <v>57</v>
      </c>
    </row>
    <row r="42" spans="1:21">
      <c r="A42" s="5">
        <v>1955</v>
      </c>
      <c r="B42" s="5" t="s">
        <v>184</v>
      </c>
      <c r="C42" s="5" t="s">
        <v>22</v>
      </c>
      <c r="D42" s="5">
        <v>58</v>
      </c>
      <c r="E42" s="5" t="s">
        <v>68</v>
      </c>
      <c r="F42" s="5" t="s">
        <v>49</v>
      </c>
      <c r="G42" s="5" t="s">
        <v>50</v>
      </c>
      <c r="H42" s="5" t="s">
        <v>41</v>
      </c>
      <c r="I42" s="5" t="s">
        <v>185</v>
      </c>
      <c r="J42" s="5" t="s">
        <v>186</v>
      </c>
      <c r="K42" s="5" t="s">
        <v>63</v>
      </c>
      <c r="L42" s="5" t="s">
        <v>54</v>
      </c>
      <c r="M42" s="5">
        <v>46567</v>
      </c>
      <c r="N42" s="5" t="s">
        <v>64</v>
      </c>
      <c r="O42" s="5">
        <v>2825</v>
      </c>
      <c r="P42" s="5" t="s">
        <v>32</v>
      </c>
      <c r="Q42" s="5">
        <v>15</v>
      </c>
      <c r="R42" s="5">
        <v>3</v>
      </c>
      <c r="S42" s="5" t="s">
        <v>46</v>
      </c>
      <c r="T42" s="5" t="s">
        <v>96</v>
      </c>
      <c r="U42" s="5" t="s">
        <v>57</v>
      </c>
    </row>
    <row r="43" spans="1:21">
      <c r="A43" s="5">
        <v>4522</v>
      </c>
      <c r="B43" s="5" t="s">
        <v>187</v>
      </c>
      <c r="C43" s="5" t="s">
        <v>22</v>
      </c>
      <c r="D43" s="5">
        <v>36</v>
      </c>
      <c r="E43" s="5" t="s">
        <v>59</v>
      </c>
      <c r="F43" s="5" t="s">
        <v>24</v>
      </c>
      <c r="G43" s="5" t="s">
        <v>121</v>
      </c>
      <c r="H43" s="5" t="s">
        <v>26</v>
      </c>
      <c r="I43" s="5" t="s">
        <v>188</v>
      </c>
      <c r="J43" s="5" t="s">
        <v>189</v>
      </c>
      <c r="K43" s="5" t="s">
        <v>63</v>
      </c>
      <c r="L43" s="5" t="s">
        <v>44</v>
      </c>
      <c r="M43" s="5">
        <v>39795</v>
      </c>
      <c r="N43" s="5" t="s">
        <v>64</v>
      </c>
      <c r="O43" s="5">
        <v>1670</v>
      </c>
      <c r="P43" s="5" t="s">
        <v>46</v>
      </c>
      <c r="Q43" s="5">
        <v>0</v>
      </c>
      <c r="R43" s="5">
        <v>2</v>
      </c>
      <c r="S43" s="5" t="s">
        <v>47</v>
      </c>
      <c r="T43" s="5" t="s">
        <v>75</v>
      </c>
      <c r="U43" s="5" t="s">
        <v>46</v>
      </c>
    </row>
    <row r="44" spans="1:21">
      <c r="A44" s="5">
        <v>3078</v>
      </c>
      <c r="B44" s="5" t="s">
        <v>190</v>
      </c>
      <c r="C44" s="5" t="s">
        <v>22</v>
      </c>
      <c r="D44" s="5">
        <v>21</v>
      </c>
      <c r="E44" s="5" t="s">
        <v>23</v>
      </c>
      <c r="F44" s="5" t="s">
        <v>24</v>
      </c>
      <c r="G44" s="5" t="s">
        <v>25</v>
      </c>
      <c r="H44" s="5" t="s">
        <v>81</v>
      </c>
      <c r="I44" s="5" t="s">
        <v>191</v>
      </c>
      <c r="J44" s="5" t="s">
        <v>192</v>
      </c>
      <c r="K44" s="5" t="s">
        <v>63</v>
      </c>
      <c r="L44" s="5" t="s">
        <v>54</v>
      </c>
      <c r="M44" s="5">
        <v>59506</v>
      </c>
      <c r="N44" s="5" t="s">
        <v>64</v>
      </c>
      <c r="O44" s="5">
        <v>4428</v>
      </c>
      <c r="P44" s="5" t="s">
        <v>65</v>
      </c>
      <c r="Q44" s="5">
        <v>0</v>
      </c>
      <c r="R44" s="5">
        <v>1</v>
      </c>
      <c r="S44" s="5" t="s">
        <v>46</v>
      </c>
      <c r="T44" s="5" t="s">
        <v>75</v>
      </c>
      <c r="U44" s="5" t="s">
        <v>35</v>
      </c>
    </row>
    <row r="45" spans="1:21">
      <c r="A45" s="5">
        <v>6357</v>
      </c>
      <c r="B45" s="5" t="s">
        <v>193</v>
      </c>
      <c r="C45" s="5" t="s">
        <v>22</v>
      </c>
      <c r="D45" s="5">
        <v>46</v>
      </c>
      <c r="E45" s="5" t="s">
        <v>98</v>
      </c>
      <c r="F45" s="5" t="s">
        <v>49</v>
      </c>
      <c r="G45" s="5" t="s">
        <v>40</v>
      </c>
      <c r="H45" s="5" t="s">
        <v>81</v>
      </c>
      <c r="I45" s="5" t="s">
        <v>194</v>
      </c>
      <c r="J45" s="5" t="s">
        <v>195</v>
      </c>
      <c r="K45" s="5" t="s">
        <v>63</v>
      </c>
      <c r="L45" s="5" t="s">
        <v>54</v>
      </c>
      <c r="M45" s="5">
        <v>49058</v>
      </c>
      <c r="N45" s="5" t="s">
        <v>45</v>
      </c>
      <c r="O45" s="5">
        <v>4396</v>
      </c>
      <c r="P45" s="5" t="s">
        <v>46</v>
      </c>
      <c r="Q45" s="5">
        <v>5</v>
      </c>
      <c r="R45" s="5">
        <v>1</v>
      </c>
      <c r="S45" s="5" t="s">
        <v>46</v>
      </c>
      <c r="T45" s="5" t="s">
        <v>75</v>
      </c>
      <c r="U45" s="5" t="s">
        <v>46</v>
      </c>
    </row>
    <row r="46" spans="1:21">
      <c r="A46" s="5">
        <v>7951</v>
      </c>
      <c r="B46" s="5" t="s">
        <v>196</v>
      </c>
      <c r="C46" s="5" t="s">
        <v>22</v>
      </c>
      <c r="D46" s="5">
        <v>36</v>
      </c>
      <c r="E46" s="5" t="s">
        <v>59</v>
      </c>
      <c r="F46" s="5" t="s">
        <v>80</v>
      </c>
      <c r="G46" s="5" t="s">
        <v>50</v>
      </c>
      <c r="H46" s="5" t="s">
        <v>81</v>
      </c>
      <c r="I46" s="5" t="s">
        <v>197</v>
      </c>
      <c r="J46" s="5" t="s">
        <v>198</v>
      </c>
      <c r="K46" s="5" t="s">
        <v>63</v>
      </c>
      <c r="L46" s="5" t="s">
        <v>30</v>
      </c>
      <c r="M46" s="5">
        <v>98612</v>
      </c>
      <c r="N46" s="5" t="s">
        <v>64</v>
      </c>
      <c r="O46" s="5">
        <v>1168</v>
      </c>
      <c r="P46" s="5" t="s">
        <v>46</v>
      </c>
      <c r="Q46" s="5">
        <v>9</v>
      </c>
      <c r="R46" s="5">
        <v>2</v>
      </c>
      <c r="S46" s="5" t="s">
        <v>47</v>
      </c>
      <c r="T46" s="5" t="s">
        <v>34</v>
      </c>
      <c r="U46" s="5" t="s">
        <v>35</v>
      </c>
    </row>
    <row r="47" spans="1:21">
      <c r="A47" s="5">
        <v>9228</v>
      </c>
      <c r="B47" s="5" t="s">
        <v>199</v>
      </c>
      <c r="C47" s="5" t="s">
        <v>37</v>
      </c>
      <c r="D47" s="5">
        <v>41</v>
      </c>
      <c r="E47" s="5" t="s">
        <v>59</v>
      </c>
      <c r="F47" s="5" t="s">
        <v>102</v>
      </c>
      <c r="G47" s="5" t="s">
        <v>72</v>
      </c>
      <c r="H47" s="5" t="s">
        <v>41</v>
      </c>
      <c r="I47" s="5" t="s">
        <v>200</v>
      </c>
      <c r="J47" s="5" t="s">
        <v>201</v>
      </c>
      <c r="K47" s="5" t="s">
        <v>111</v>
      </c>
      <c r="L47" s="5" t="s">
        <v>44</v>
      </c>
      <c r="M47" s="5">
        <v>38201</v>
      </c>
      <c r="N47" s="5" t="s">
        <v>64</v>
      </c>
      <c r="O47" s="5">
        <v>7111</v>
      </c>
      <c r="P47" s="5" t="s">
        <v>32</v>
      </c>
      <c r="Q47" s="5">
        <v>8</v>
      </c>
      <c r="R47" s="5">
        <v>4</v>
      </c>
      <c r="S47" s="5" t="s">
        <v>33</v>
      </c>
      <c r="T47" s="5" t="s">
        <v>75</v>
      </c>
      <c r="U47" s="5" t="s">
        <v>46</v>
      </c>
    </row>
    <row r="48" spans="1:21">
      <c r="A48" s="5">
        <v>8988</v>
      </c>
      <c r="B48" s="5" t="s">
        <v>202</v>
      </c>
      <c r="C48" s="5" t="s">
        <v>37</v>
      </c>
      <c r="D48" s="5">
        <v>25</v>
      </c>
      <c r="E48" s="5" t="s">
        <v>23</v>
      </c>
      <c r="F48" s="5" t="s">
        <v>24</v>
      </c>
      <c r="G48" s="5" t="s">
        <v>50</v>
      </c>
      <c r="H48" s="5" t="s">
        <v>51</v>
      </c>
      <c r="I48" s="5" t="s">
        <v>203</v>
      </c>
      <c r="J48" s="5" t="s">
        <v>204</v>
      </c>
      <c r="K48" s="5" t="s">
        <v>111</v>
      </c>
      <c r="L48" s="5" t="s">
        <v>44</v>
      </c>
      <c r="M48" s="5">
        <v>92919</v>
      </c>
      <c r="N48" s="5" t="s">
        <v>55</v>
      </c>
      <c r="O48" s="5">
        <v>9497</v>
      </c>
      <c r="P48" s="5" t="s">
        <v>32</v>
      </c>
      <c r="Q48" s="5">
        <v>7</v>
      </c>
      <c r="R48" s="5">
        <v>2</v>
      </c>
      <c r="S48" s="5" t="s">
        <v>46</v>
      </c>
      <c r="T48" s="5" t="s">
        <v>75</v>
      </c>
      <c r="U48" s="5" t="s">
        <v>57</v>
      </c>
    </row>
    <row r="49" spans="1:21">
      <c r="A49" s="5">
        <v>1952</v>
      </c>
      <c r="B49" s="5" t="s">
        <v>205</v>
      </c>
      <c r="C49" s="5" t="s">
        <v>22</v>
      </c>
      <c r="D49" s="5">
        <v>29</v>
      </c>
      <c r="E49" s="5" t="s">
        <v>38</v>
      </c>
      <c r="F49" s="5" t="s">
        <v>102</v>
      </c>
      <c r="G49" s="5" t="s">
        <v>25</v>
      </c>
      <c r="H49" s="5" t="s">
        <v>41</v>
      </c>
      <c r="I49" s="5" t="s">
        <v>206</v>
      </c>
      <c r="J49" s="5" t="s">
        <v>207</v>
      </c>
      <c r="K49" s="5" t="s">
        <v>29</v>
      </c>
      <c r="L49" s="5" t="s">
        <v>54</v>
      </c>
      <c r="M49" s="5">
        <v>45188</v>
      </c>
      <c r="N49" s="5" t="s">
        <v>64</v>
      </c>
      <c r="O49" s="5">
        <v>9591</v>
      </c>
      <c r="P49" s="5" t="s">
        <v>65</v>
      </c>
      <c r="Q49" s="5">
        <v>18</v>
      </c>
      <c r="R49" s="5">
        <v>3</v>
      </c>
      <c r="S49" s="5" t="s">
        <v>33</v>
      </c>
      <c r="T49" s="5" t="s">
        <v>75</v>
      </c>
      <c r="U49" s="5" t="s">
        <v>46</v>
      </c>
    </row>
    <row r="50" spans="1:21">
      <c r="A50" s="5">
        <v>5760</v>
      </c>
      <c r="B50" s="5" t="s">
        <v>208</v>
      </c>
      <c r="C50" s="5" t="s">
        <v>22</v>
      </c>
      <c r="D50" s="5">
        <v>59</v>
      </c>
      <c r="E50" s="5" t="s">
        <v>68</v>
      </c>
      <c r="F50" s="5" t="s">
        <v>49</v>
      </c>
      <c r="G50" s="5" t="s">
        <v>40</v>
      </c>
      <c r="H50" s="5" t="s">
        <v>26</v>
      </c>
      <c r="I50" s="5" t="s">
        <v>209</v>
      </c>
      <c r="J50" s="5" t="s">
        <v>210</v>
      </c>
      <c r="K50" s="5" t="s">
        <v>29</v>
      </c>
      <c r="L50" s="5" t="s">
        <v>44</v>
      </c>
      <c r="M50" s="5">
        <v>34927</v>
      </c>
      <c r="N50" s="5" t="s">
        <v>55</v>
      </c>
      <c r="O50" s="5">
        <v>6996</v>
      </c>
      <c r="P50" s="5" t="s">
        <v>65</v>
      </c>
      <c r="Q50" s="5">
        <v>16</v>
      </c>
      <c r="R50" s="5">
        <v>1</v>
      </c>
      <c r="S50" s="5" t="s">
        <v>47</v>
      </c>
      <c r="T50" s="5" t="s">
        <v>34</v>
      </c>
      <c r="U50" s="5" t="s">
        <v>35</v>
      </c>
    </row>
    <row r="51" spans="1:21">
      <c r="A51" s="5">
        <v>5742</v>
      </c>
      <c r="B51" s="5" t="s">
        <v>211</v>
      </c>
      <c r="C51" s="5" t="s">
        <v>22</v>
      </c>
      <c r="D51" s="5">
        <v>27</v>
      </c>
      <c r="E51" s="5" t="s">
        <v>38</v>
      </c>
      <c r="F51" s="5" t="s">
        <v>24</v>
      </c>
      <c r="G51" s="5" t="s">
        <v>50</v>
      </c>
      <c r="H51" s="5" t="s">
        <v>60</v>
      </c>
      <c r="I51" s="5" t="s">
        <v>212</v>
      </c>
      <c r="J51" s="5" t="s">
        <v>213</v>
      </c>
      <c r="K51" s="5" t="s">
        <v>29</v>
      </c>
      <c r="L51" s="5" t="s">
        <v>44</v>
      </c>
      <c r="M51" s="5">
        <v>33183</v>
      </c>
      <c r="N51" s="5" t="s">
        <v>64</v>
      </c>
      <c r="O51" s="5">
        <v>1659</v>
      </c>
      <c r="P51" s="5" t="s">
        <v>46</v>
      </c>
      <c r="Q51" s="5">
        <v>11</v>
      </c>
      <c r="R51" s="5">
        <v>1</v>
      </c>
      <c r="S51" s="5" t="s">
        <v>33</v>
      </c>
      <c r="T51" s="5" t="s">
        <v>66</v>
      </c>
      <c r="U51" s="5"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2A47-4A28-429D-9B15-90E765583BB3}">
  <dimension ref="B2:S34"/>
  <sheetViews>
    <sheetView workbookViewId="0">
      <selection activeCell="R3" sqref="R3"/>
    </sheetView>
  </sheetViews>
  <sheetFormatPr defaultRowHeight="14.4"/>
  <cols>
    <col min="2" max="2" width="12.44140625" bestFit="1" customWidth="1"/>
    <col min="3" max="3" width="16.6640625" bestFit="1" customWidth="1"/>
    <col min="6" max="7" width="12.44140625" bestFit="1" customWidth="1"/>
    <col min="8" max="8" width="26.44140625" bestFit="1" customWidth="1"/>
    <col min="10" max="10" width="16.6640625" bestFit="1" customWidth="1"/>
    <col min="11" max="11" width="15.5546875" bestFit="1" customWidth="1"/>
    <col min="12" max="12" width="5" bestFit="1" customWidth="1"/>
    <col min="13" max="13" width="10.5546875" bestFit="1" customWidth="1"/>
    <col min="15" max="15" width="12.44140625" bestFit="1" customWidth="1"/>
    <col min="16" max="16" width="16.6640625" bestFit="1" customWidth="1"/>
    <col min="18" max="18" width="13.88671875" bestFit="1" customWidth="1"/>
    <col min="19" max="19" width="16.6640625" bestFit="1" customWidth="1"/>
  </cols>
  <sheetData>
    <row r="2" spans="2:19">
      <c r="B2" s="9" t="s">
        <v>217</v>
      </c>
      <c r="C2" s="9"/>
      <c r="F2" s="11" t="s">
        <v>222</v>
      </c>
      <c r="G2" s="10"/>
      <c r="J2" s="14" t="s">
        <v>224</v>
      </c>
      <c r="K2" s="15"/>
      <c r="L2" s="14"/>
      <c r="M2" s="15"/>
      <c r="O2" s="11" t="s">
        <v>225</v>
      </c>
      <c r="P2" s="11"/>
      <c r="R2" s="11" t="s">
        <v>19</v>
      </c>
      <c r="S2" s="11"/>
    </row>
    <row r="3" spans="2:19">
      <c r="B3" s="6" t="s">
        <v>214</v>
      </c>
      <c r="C3" t="s">
        <v>216</v>
      </c>
      <c r="F3" s="6" t="s">
        <v>214</v>
      </c>
      <c r="G3" t="s">
        <v>221</v>
      </c>
      <c r="H3" t="s">
        <v>226</v>
      </c>
      <c r="J3" s="6" t="s">
        <v>216</v>
      </c>
      <c r="K3" s="6" t="s">
        <v>223</v>
      </c>
      <c r="O3" s="6" t="s">
        <v>214</v>
      </c>
      <c r="P3" t="s">
        <v>216</v>
      </c>
      <c r="R3" s="6" t="s">
        <v>214</v>
      </c>
      <c r="S3" t="s">
        <v>216</v>
      </c>
    </row>
    <row r="4" spans="2:19">
      <c r="B4" s="7" t="s">
        <v>63</v>
      </c>
      <c r="C4" s="8">
        <v>5</v>
      </c>
      <c r="F4" s="7" t="s">
        <v>121</v>
      </c>
      <c r="G4" s="12">
        <v>86121</v>
      </c>
      <c r="H4" s="12">
        <v>8</v>
      </c>
      <c r="J4" s="6" t="s">
        <v>214</v>
      </c>
      <c r="K4" t="s">
        <v>22</v>
      </c>
      <c r="L4" t="s">
        <v>37</v>
      </c>
      <c r="M4" t="s">
        <v>215</v>
      </c>
      <c r="O4" s="7" t="s">
        <v>44</v>
      </c>
      <c r="P4" s="8">
        <v>4</v>
      </c>
      <c r="R4" s="7" t="s">
        <v>75</v>
      </c>
      <c r="S4" s="8">
        <v>4</v>
      </c>
    </row>
    <row r="5" spans="2:19">
      <c r="B5" s="7" t="s">
        <v>29</v>
      </c>
      <c r="C5" s="8">
        <v>5</v>
      </c>
      <c r="F5" s="7" t="s">
        <v>40</v>
      </c>
      <c r="G5" s="12">
        <v>116152</v>
      </c>
      <c r="H5" s="12">
        <v>18</v>
      </c>
      <c r="J5" s="7" t="s">
        <v>23</v>
      </c>
      <c r="K5" s="8">
        <v>1</v>
      </c>
      <c r="L5" s="8">
        <v>1</v>
      </c>
      <c r="M5" s="8">
        <v>2</v>
      </c>
      <c r="O5" s="7" t="s">
        <v>30</v>
      </c>
      <c r="P5" s="8">
        <v>4</v>
      </c>
      <c r="R5" s="7" t="s">
        <v>34</v>
      </c>
      <c r="S5" s="8">
        <v>3</v>
      </c>
    </row>
    <row r="6" spans="2:19">
      <c r="B6" s="7" t="s">
        <v>111</v>
      </c>
      <c r="C6" s="8">
        <v>2</v>
      </c>
      <c r="F6" s="7" t="s">
        <v>72</v>
      </c>
      <c r="G6" s="12">
        <v>261765</v>
      </c>
      <c r="H6" s="12">
        <v>46</v>
      </c>
      <c r="J6" s="7" t="s">
        <v>38</v>
      </c>
      <c r="K6" s="8">
        <v>1</v>
      </c>
      <c r="L6" s="8">
        <v>2</v>
      </c>
      <c r="M6" s="8">
        <v>3</v>
      </c>
      <c r="O6" s="7" t="s">
        <v>54</v>
      </c>
      <c r="P6" s="8">
        <v>4</v>
      </c>
      <c r="R6" s="7" t="s">
        <v>96</v>
      </c>
      <c r="S6" s="8">
        <v>2</v>
      </c>
    </row>
    <row r="7" spans="2:19">
      <c r="B7" s="7" t="s">
        <v>215</v>
      </c>
      <c r="C7" s="8">
        <v>12</v>
      </c>
      <c r="F7" s="7" t="s">
        <v>50</v>
      </c>
      <c r="G7" s="12">
        <v>36721</v>
      </c>
      <c r="H7" s="12">
        <v>0</v>
      </c>
      <c r="J7" s="7" t="s">
        <v>59</v>
      </c>
      <c r="K7" s="8">
        <v>1</v>
      </c>
      <c r="L7" s="8">
        <v>1</v>
      </c>
      <c r="M7" s="8">
        <v>2</v>
      </c>
      <c r="O7" s="7" t="s">
        <v>215</v>
      </c>
      <c r="P7" s="8">
        <v>12</v>
      </c>
      <c r="R7" s="7" t="s">
        <v>56</v>
      </c>
      <c r="S7" s="8">
        <v>2</v>
      </c>
    </row>
    <row r="8" spans="2:19">
      <c r="F8" s="7" t="s">
        <v>25</v>
      </c>
      <c r="G8" s="12">
        <v>181998</v>
      </c>
      <c r="H8" s="12">
        <v>32</v>
      </c>
      <c r="J8" s="7" t="s">
        <v>98</v>
      </c>
      <c r="K8" s="8">
        <v>2</v>
      </c>
      <c r="L8" s="8">
        <v>1</v>
      </c>
      <c r="M8" s="8">
        <v>3</v>
      </c>
      <c r="R8" s="7" t="s">
        <v>66</v>
      </c>
      <c r="S8" s="8">
        <v>1</v>
      </c>
    </row>
    <row r="9" spans="2:19">
      <c r="F9" s="7" t="s">
        <v>215</v>
      </c>
      <c r="G9" s="8">
        <v>682757</v>
      </c>
      <c r="H9" s="8">
        <v>104</v>
      </c>
      <c r="J9" s="7" t="s">
        <v>68</v>
      </c>
      <c r="K9" s="8">
        <v>1</v>
      </c>
      <c r="L9" s="8">
        <v>1</v>
      </c>
      <c r="M9" s="8">
        <v>2</v>
      </c>
      <c r="R9" s="7" t="s">
        <v>215</v>
      </c>
      <c r="S9" s="8">
        <v>12</v>
      </c>
    </row>
    <row r="10" spans="2:19">
      <c r="B10" s="7" t="s">
        <v>63</v>
      </c>
      <c r="C10">
        <f>IFERROR(GETPIVOTDATA("Full Name",$B$3,"Employment Status","Contract"),"0")</f>
        <v>5</v>
      </c>
      <c r="J10" s="7" t="s">
        <v>215</v>
      </c>
      <c r="K10" s="8">
        <v>6</v>
      </c>
      <c r="L10" s="8">
        <v>6</v>
      </c>
      <c r="M10" s="8">
        <v>12</v>
      </c>
    </row>
    <row r="11" spans="2:19">
      <c r="B11" s="7" t="s">
        <v>218</v>
      </c>
      <c r="C11">
        <f>IFERROR(GETPIVOTDATA("Full Name",$B$3,"Employment Status","Full-Time"),"0")</f>
        <v>5</v>
      </c>
      <c r="F11" s="7" t="s">
        <v>121</v>
      </c>
      <c r="G11" s="13">
        <f>IFERROR(GETPIVOTDATA("Salary",$F$3,"Job Title","Analyst"),"0")</f>
        <v>86121</v>
      </c>
      <c r="H11" s="13">
        <f>IFERROR(GETPIVOTDATA("Sum of Leave Taken",$F$3,"Job Title","Analyst"),"0")</f>
        <v>8</v>
      </c>
    </row>
    <row r="12" spans="2:19">
      <c r="B12" s="7" t="s">
        <v>219</v>
      </c>
      <c r="C12">
        <f>IFERROR(GETPIVOTDATA("Full Name",$B$3,"Employment Status","Part-Time"),"0")</f>
        <v>2</v>
      </c>
      <c r="F12" s="7" t="s">
        <v>40</v>
      </c>
      <c r="G12" s="13">
        <f>IFERROR(GETPIVOTDATA("Salary",$F$3,"Job Title","Designer"),"0")</f>
        <v>116152</v>
      </c>
      <c r="H12" s="13">
        <f>IFERROR(GETPIVOTDATA("Sum of Leave Taken",$F$3,"Job Title","Designer"),"0")</f>
        <v>18</v>
      </c>
      <c r="J12" s="7" t="s">
        <v>23</v>
      </c>
      <c r="K12">
        <f>IFERROR(GETPIVOTDATA("Full Name",$J$3,"Age range","18-25"),"0")</f>
        <v>2</v>
      </c>
      <c r="O12" s="7" t="s">
        <v>44</v>
      </c>
      <c r="P12">
        <f>IFERROR(GETPIVOTDATA("Full Name",$O$3,"Work Location","Branch Office"),"0")</f>
        <v>4</v>
      </c>
      <c r="R12" s="7" t="s">
        <v>75</v>
      </c>
      <c r="S12">
        <f>IFERROR(GETPIVOTDATA("Full Name",$R$3,"Skills","Communication"),"0")</f>
        <v>4</v>
      </c>
    </row>
    <row r="13" spans="2:19">
      <c r="B13" s="7" t="s">
        <v>220</v>
      </c>
      <c r="C13">
        <f>SUM(C10:C12)</f>
        <v>12</v>
      </c>
      <c r="F13" s="7" t="s">
        <v>72</v>
      </c>
      <c r="G13" s="13">
        <f>IFERROR(GETPIVOTDATA("Salary",$F$3,"Job Title","Developer"),"0")</f>
        <v>261765</v>
      </c>
      <c r="H13" s="13">
        <f>IFERROR(GETPIVOTDATA("Sum of Leave Taken",$F$3,"Job Title","Developer"),"0")</f>
        <v>46</v>
      </c>
      <c r="J13" s="7" t="s">
        <v>38</v>
      </c>
      <c r="K13">
        <f>IFERROR(GETPIVOTDATA("Full Name",$J$3,"Age range","26-35"),"0")</f>
        <v>3</v>
      </c>
      <c r="O13" s="7" t="s">
        <v>30</v>
      </c>
      <c r="P13">
        <f>IFERROR(GETPIVOTDATA("Full Name",$O$3,"Work Location","Head Office"),"0")</f>
        <v>4</v>
      </c>
      <c r="R13" s="7" t="s">
        <v>34</v>
      </c>
      <c r="S13">
        <f>IFERROR(GETPIVOTDATA("Full Name",$R$3,"Skills","Design"),"0")</f>
        <v>3</v>
      </c>
    </row>
    <row r="14" spans="2:19">
      <c r="F14" s="7" t="s">
        <v>50</v>
      </c>
      <c r="G14" s="13">
        <f>IFERROR(GETPIVOTDATA("Salary",$F$3,"Job Title","HR Specialist"),"0")</f>
        <v>36721</v>
      </c>
      <c r="H14" s="13">
        <f>IFERROR(GETPIVOTDATA("Sum of Leave Taken",$F$3,"Job Title","HR Specialist"),"0")</f>
        <v>0</v>
      </c>
      <c r="J14" s="7" t="s">
        <v>59</v>
      </c>
      <c r="K14">
        <f>IFERROR(GETPIVOTDATA("Full Name",$J$3,"Age range","36-45"),"0")</f>
        <v>2</v>
      </c>
      <c r="O14" s="7" t="s">
        <v>54</v>
      </c>
      <c r="P14">
        <f>IFERROR(GETPIVOTDATA("Full Name",$O$3,"Work Location","Remote"),"0")</f>
        <v>4</v>
      </c>
      <c r="R14" s="7" t="s">
        <v>96</v>
      </c>
      <c r="S14">
        <f>IFERROR(GETPIVOTDATA("Full Name",$R$3,"Skills","Excel"),"0")</f>
        <v>2</v>
      </c>
    </row>
    <row r="15" spans="2:19">
      <c r="F15" s="7" t="s">
        <v>25</v>
      </c>
      <c r="G15" s="13">
        <f>IFERROR(GETPIVOTDATA("Salary",$F$3,"Job Title","Manager"),"0")</f>
        <v>181998</v>
      </c>
      <c r="H15" s="13">
        <f>IFERROR(GETPIVOTDATA("Sum of Leave Taken",$F$3,"Job Title","Manager"),"0")</f>
        <v>32</v>
      </c>
      <c r="J15" s="7" t="s">
        <v>98</v>
      </c>
      <c r="K15">
        <f>IFERROR(GETPIVOTDATA("Full Name",$J$3,"Age range","46-55"),"0")</f>
        <v>3</v>
      </c>
      <c r="O15" s="7" t="s">
        <v>220</v>
      </c>
      <c r="P15">
        <f>SUM(P12:P14)</f>
        <v>12</v>
      </c>
      <c r="R15" s="7" t="s">
        <v>56</v>
      </c>
      <c r="S15">
        <f>IFERROR(GETPIVOTDATA("Full Name",$R$3,"Skills","Management"),"0")</f>
        <v>2</v>
      </c>
    </row>
    <row r="16" spans="2:19">
      <c r="F16" s="7" t="s">
        <v>220</v>
      </c>
      <c r="G16" s="13">
        <f>SUM(G11:G15)</f>
        <v>682757</v>
      </c>
      <c r="H16" s="12">
        <f>SUM(H11:H15)</f>
        <v>104</v>
      </c>
      <c r="J16" s="7" t="s">
        <v>68</v>
      </c>
      <c r="K16">
        <f>IFERROR(GETPIVOTDATA("Full Name",$J$3,"Age range","56 &lt;"),"0")</f>
        <v>2</v>
      </c>
      <c r="R16" s="7" t="s">
        <v>66</v>
      </c>
      <c r="S16">
        <f>IFERROR(GETPIVOTDATA("Full Name",$R$3,"Skills","Python"),"0")</f>
        <v>1</v>
      </c>
    </row>
    <row r="17" spans="2:16">
      <c r="J17" s="7" t="s">
        <v>220</v>
      </c>
      <c r="K17">
        <f>SUM(K12:K16)</f>
        <v>12</v>
      </c>
      <c r="O17" s="17">
        <f>SUM(P12)/SUM($P$12:$P$14)</f>
        <v>0.33333333333333331</v>
      </c>
      <c r="P17" s="18">
        <f>1-O17</f>
        <v>0.66666666666666674</v>
      </c>
    </row>
    <row r="18" spans="2:16">
      <c r="G18" s="11" t="s">
        <v>228</v>
      </c>
      <c r="H18" s="10"/>
      <c r="O18" s="17">
        <f>SUM(P13)/SUM($P$12:$P$14)</f>
        <v>0.33333333333333331</v>
      </c>
      <c r="P18" s="18">
        <f t="shared" ref="P18:P19" si="0">1-O18</f>
        <v>0.66666666666666674</v>
      </c>
    </row>
    <row r="19" spans="2:16">
      <c r="B19" s="11" t="s">
        <v>227</v>
      </c>
      <c r="C19" s="10"/>
      <c r="G19" s="6" t="s">
        <v>214</v>
      </c>
      <c r="H19" t="s">
        <v>229</v>
      </c>
      <c r="O19" s="17">
        <f>SUM(P14)/SUM($P$12:$P$14)</f>
        <v>0.33333333333333331</v>
      </c>
      <c r="P19" s="18">
        <f t="shared" si="0"/>
        <v>0.66666666666666674</v>
      </c>
    </row>
    <row r="20" spans="2:16">
      <c r="B20" s="6" t="s">
        <v>214</v>
      </c>
      <c r="C20" t="s">
        <v>216</v>
      </c>
      <c r="G20" s="7" t="s">
        <v>26</v>
      </c>
      <c r="H20" s="19">
        <v>2.5833333333333335</v>
      </c>
      <c r="J20" s="7" t="s">
        <v>37</v>
      </c>
      <c r="K20">
        <f>IFERROR(GETPIVOTDATA("Full Name",$J$3,"Gender","Male"),"0")</f>
        <v>6</v>
      </c>
      <c r="L20" s="17">
        <f t="shared" ref="L20:L21" si="1">SUM(K20)/SUM($K$20:$K$21)</f>
        <v>0.5</v>
      </c>
      <c r="M20" s="18">
        <f>1-L20</f>
        <v>0.5</v>
      </c>
    </row>
    <row r="21" spans="2:16">
      <c r="B21" s="7" t="s">
        <v>39</v>
      </c>
      <c r="C21" s="8">
        <v>4</v>
      </c>
      <c r="G21" s="7" t="s">
        <v>215</v>
      </c>
      <c r="H21" s="8">
        <v>2.5833333333333335</v>
      </c>
      <c r="J21" s="7" t="s">
        <v>22</v>
      </c>
      <c r="K21">
        <f>IFERROR(GETPIVOTDATA("Full Name",$J$3,"Gender","Female"),"0")</f>
        <v>6</v>
      </c>
      <c r="L21" s="17">
        <f t="shared" si="1"/>
        <v>0.5</v>
      </c>
      <c r="M21" s="18">
        <f>1-L21</f>
        <v>0.5</v>
      </c>
    </row>
    <row r="22" spans="2:16">
      <c r="B22" s="7" t="s">
        <v>24</v>
      </c>
      <c r="C22" s="8">
        <v>3</v>
      </c>
      <c r="K22" s="16"/>
    </row>
    <row r="23" spans="2:16">
      <c r="B23" s="7" t="s">
        <v>102</v>
      </c>
      <c r="C23" s="8">
        <v>2</v>
      </c>
      <c r="J23" s="7" t="s">
        <v>220</v>
      </c>
      <c r="K23">
        <f>SUM(K20:K21)</f>
        <v>12</v>
      </c>
    </row>
    <row r="24" spans="2:16">
      <c r="B24" s="7" t="s">
        <v>80</v>
      </c>
      <c r="C24" s="8">
        <v>1</v>
      </c>
    </row>
    <row r="25" spans="2:16">
      <c r="B25" s="7" t="s">
        <v>49</v>
      </c>
      <c r="C25" s="8">
        <v>2</v>
      </c>
    </row>
    <row r="26" spans="2:16">
      <c r="B26" s="7" t="s">
        <v>215</v>
      </c>
      <c r="C26" s="8">
        <v>12</v>
      </c>
    </row>
    <row r="28" spans="2:16">
      <c r="G28" s="7" t="s">
        <v>26</v>
      </c>
      <c r="H28" s="19">
        <f>IFERROR(GETPIVOTDATA("Performance Rating",$G$19,"Department","Finance"),"0")</f>
        <v>2.5833333333333335</v>
      </c>
    </row>
    <row r="29" spans="2:16">
      <c r="B29" s="7" t="s">
        <v>39</v>
      </c>
      <c r="C29">
        <f>IFERROR(GETPIVOTDATA("Full Name",$B$20,"Region","Central"),"0")</f>
        <v>4</v>
      </c>
      <c r="G29" s="7" t="s">
        <v>41</v>
      </c>
      <c r="H29" t="str">
        <f>IFERROR(GETPIVOTDATA("Performance Rating",$G$19,"Department","HR"),"0")</f>
        <v>0</v>
      </c>
    </row>
    <row r="30" spans="2:16">
      <c r="B30" s="7" t="s">
        <v>24</v>
      </c>
      <c r="C30">
        <f>IFERROR(GETPIVOTDATA("Full Name",$B$20,"Region","East"),"0")</f>
        <v>3</v>
      </c>
      <c r="G30" s="7" t="s">
        <v>81</v>
      </c>
      <c r="H30" s="19" t="str">
        <f>IFERROR(GETPIVOTDATA("Performance Rating",$G$19,"Department","IT"),"0")</f>
        <v>0</v>
      </c>
    </row>
    <row r="31" spans="2:16">
      <c r="B31" s="7" t="s">
        <v>102</v>
      </c>
      <c r="C31">
        <f>IFERROR(GETPIVOTDATA("Full Name",$B$20,"Region","North"),"0")</f>
        <v>2</v>
      </c>
      <c r="G31" s="7" t="s">
        <v>51</v>
      </c>
      <c r="H31" s="19" t="str">
        <f>IFERROR(GETPIVOTDATA("Performance Rating",$G$19,"Department","Marketing"),"0")</f>
        <v>0</v>
      </c>
    </row>
    <row r="32" spans="2:16">
      <c r="B32" s="7" t="s">
        <v>80</v>
      </c>
      <c r="C32">
        <f>IFERROR(GETPIVOTDATA("Full Name",$B$20,"Region","South"),"0")</f>
        <v>1</v>
      </c>
      <c r="G32" s="7" t="s">
        <v>60</v>
      </c>
      <c r="H32" s="19" t="str">
        <f>IFERROR(GETPIVOTDATA("Performance Rating",$G$19,"Department","Operations"),"0")</f>
        <v>0</v>
      </c>
    </row>
    <row r="33" spans="2:8">
      <c r="B33" s="7" t="s">
        <v>49</v>
      </c>
      <c r="C33">
        <f>IFERROR(GETPIVOTDATA("Full Name",$B$20,"Region","West"),"0")</f>
        <v>2</v>
      </c>
      <c r="G33" s="7" t="s">
        <v>220</v>
      </c>
      <c r="H33" s="19">
        <f>AVERAGE(H28:H32)</f>
        <v>2.5833333333333335</v>
      </c>
    </row>
    <row r="34" spans="2:8">
      <c r="B34" s="7" t="s">
        <v>220</v>
      </c>
      <c r="C34">
        <f>SUM(C29:C33)</f>
        <v>12</v>
      </c>
    </row>
  </sheetData>
  <mergeCells count="7">
    <mergeCell ref="B19:C19"/>
    <mergeCell ref="G18:H18"/>
    <mergeCell ref="F2:G2"/>
    <mergeCell ref="J2:K2"/>
    <mergeCell ref="L2:M2"/>
    <mergeCell ref="O2:P2"/>
    <mergeCell ref="R2:S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Ettam</dc:creator>
  <cp:lastModifiedBy>Vivek Ettam</cp:lastModifiedBy>
  <dcterms:created xsi:type="dcterms:W3CDTF">2026-02-10T07:16:07Z</dcterms:created>
  <dcterms:modified xsi:type="dcterms:W3CDTF">2026-02-10T12:56:59Z</dcterms:modified>
</cp:coreProperties>
</file>